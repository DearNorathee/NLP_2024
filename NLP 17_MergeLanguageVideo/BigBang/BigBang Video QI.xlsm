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mc:AlternateContent xmlns:mc="http://schemas.openxmlformats.org/markup-compatibility/2006">
    <mc:Choice Requires="x15">
      <x15ac:absPath xmlns:x15ac="http://schemas.microsoft.com/office/spreadsheetml/2010/11/ac" url="https://d.docs.live.net/B77F1FD521BEB67C/D_Code/Python/Python NLP/NLP 02/NLP_2024/NLP 17_MergeLanguageVideo/BigBang/"/>
    </mc:Choice>
  </mc:AlternateContent>
  <xr:revisionPtr revIDLastSave="812" documentId="8_{4760A93F-AA98-4149-9644-172B066141F6}" xr6:coauthVersionLast="47" xr6:coauthVersionMax="47" xr10:uidLastSave="{83AFD062-AB9E-4656-B5EC-2E043E935DFE}"/>
  <bookViews>
    <workbookView minimized="1" xWindow="-30700" yWindow="3870" windowWidth="23040" windowHeight="7420" tabRatio="732" activeTab="3" xr2:uid="{00000000-000D-0000-FFFF-FFFF00000000}"/>
  </bookViews>
  <sheets>
    <sheet name="Video_syn" sheetId="71" r:id="rId1"/>
    <sheet name="German" sheetId="72" r:id="rId2"/>
    <sheet name="Sheet1" sheetId="69" r:id="rId3"/>
    <sheet name="Sheet2" sheetId="73" r:id="rId4"/>
    <sheet name="S01E01" sheetId="74" r:id="rId5"/>
    <sheet name="S02E01" sheetId="75" r:id="rId6"/>
    <sheet name="Button" sheetId="70" r:id="rId7"/>
  </sheets>
  <functionGroups builtInGroupCount="19"/>
  <externalReferences>
    <externalReference r:id="rId8"/>
  </externalReferences>
  <definedNames>
    <definedName name="_xlnm._FilterDatabase" localSheetId="4" hidden="1">S01E01!$A$2:$E$420</definedName>
    <definedName name="_xlnm._FilterDatabase" localSheetId="5" hidden="1">S02E01!$A$4:$F$350</definedName>
    <definedName name="_xleta.MAP" hidden="1" xlm="1">#NAME?</definedName>
    <definedName name="_xleta.WHILE" hidden="1" xlm="1">#NAME?</definedName>
    <definedName name="_xlop.add_right" hidden="1" xlm="1">#NAME?</definedName>
    <definedName name="_xlop.case_sensitive" hidden="1" xlm="1">#NAME?</definedName>
    <definedName name="_xlop.earnix_name" hidden="1" xlm="1">#NAME?</definedName>
    <definedName name="_xlop.emblem_name" hidden="1" xlm="1">#NAME?</definedName>
    <definedName name="_xlop.equal_as_lower_val" hidden="1" xlm="1">#NAME?</definedName>
    <definedName name="_xlop.feature_row" hidden="1" xlm="1">#NAME?</definedName>
    <definedName name="_xlop.fill_na" hidden="1" xlm="1">#NAME?</definedName>
    <definedName name="_xlop.fixed_col" hidden="1" xlm="1">#NAME?</definedName>
    <definedName name="_xlop.fixed_row" hidden="1" xlm="1">#NAME?</definedName>
    <definedName name="_xlop.folder" hidden="1" xlm="1">#NAME?</definedName>
    <definedName name="_xlop.group_name" hidden="1" xlm="1">#NAME?</definedName>
    <definedName name="_xlop.inline" hidden="1" xlm="1">#NAME?</definedName>
    <definedName name="_xlop.language" hidden="1" xlm="1">#NAME?</definedName>
    <definedName name="_xlop.less_than_sign" hidden="1" xlm="1">#NAME?</definedName>
    <definedName name="_xlop.lookup_name" hidden="1" xlm="1">#NAME?</definedName>
    <definedName name="_xlop.match_type" hidden="1" xlm="1">#NAME?</definedName>
    <definedName name="_xlop.more_than_sign" hidden="1" xlm="1">#NAME?</definedName>
    <definedName name="_xlop.n" hidden="1" xlm="1">#NAME?</definedName>
    <definedName name="_xlop.n_col" hidden="1" xlm="1">#NAME?</definedName>
    <definedName name="_xlop.num_as_string" hidden="1" xlm="1">#NAME?</definedName>
    <definedName name="_xlop.quote_type" hidden="1" xlm="1">#NAME?</definedName>
    <definedName name="_xlop.start_level_row" hidden="1" xlm="1">#NAME?</definedName>
    <definedName name="_xlop.title" hidden="1" xlm="1">#NAME?</definedName>
    <definedName name="_xlop.vertical" hidden="1" xlm="1">#NAME?</definedName>
    <definedName name="_xlop.wb" hidden="1" xlm="1">#NAME?</definedName>
    <definedName name="_xlop.ws" hidden="1" xlm="1">#NAME?</definedName>
    <definedName name="_xlpm.a" hidden="1" xlm="1">#NAME?</definedName>
    <definedName name="_xlpm.accum" hidden="1" xlm="1">#NAME?</definedName>
    <definedName name="_xlpm.add_right" hidden="1" xlm="1">#NAME?</definedName>
    <definedName name="_xlpm.address" hidden="1" xlm="1">#NAME?</definedName>
    <definedName name="_xlpm.adr" hidden="1" xlm="1">#NAME?</definedName>
    <definedName name="_xlpm.adr_1" hidden="1" xlm="1">#NAME?</definedName>
    <definedName name="_xlpm.adr_2" hidden="1" xlm="1">#NAME?</definedName>
    <definedName name="_xlpm.adr_beta_from" hidden="1" xlm="1">#NAME?</definedName>
    <definedName name="_xlpm.adr_beta_to" hidden="1" xlm="1">#NAME?</definedName>
    <definedName name="_xlpm.adr_level_from" hidden="1" xlm="1">#NAME?</definedName>
    <definedName name="_xlpm.adr_level_to" hidden="1" xlm="1">#NAME?</definedName>
    <definedName name="_xlpm.after" hidden="1" xlm="1">#NAME?</definedName>
    <definedName name="_xlpm.ans" hidden="1" xlm="1">#NAME?</definedName>
    <definedName name="_xlpm.arr" hidden="1" xlm="1">#NAME?</definedName>
    <definedName name="_xlpm.array" hidden="1" xlm="1">#NAME?</definedName>
    <definedName name="_xlpm.arrseed" hidden="1" xlm="1">#NAME?</definedName>
    <definedName name="_xlpm.arseed" hidden="1" xlm="1">#NAME?</definedName>
    <definedName name="_xlpm.aseed" hidden="1" xlm="1">#NAME?</definedName>
    <definedName name="_xlpm.b" hidden="1" xlm="1">#NAME?</definedName>
    <definedName name="_xlpm.before" hidden="1" xlm="1">#NAME?</definedName>
    <definedName name="_xlpm.beta_rng" hidden="1" xlm="1">#NAME?</definedName>
    <definedName name="_xlpm.boolean_filter" hidden="1" xlm="1">#NAME?</definedName>
    <definedName name="_xlpm.c" hidden="1" xlm="1">#NAME?</definedName>
    <definedName name="_xlpm.candidates" hidden="1" xlm="1">#NAME?</definedName>
    <definedName name="_xlpm.case_sensitive" hidden="1" xlm="1">#NAME?</definedName>
    <definedName name="_xlpm.cell" hidden="1" xlm="1">#NAME?</definedName>
    <definedName name="_xlpm.ch" hidden="1" xlm="1">#NAME?</definedName>
    <definedName name="_xlpm.checker" hidden="1" xlm="1">#NAME?</definedName>
    <definedName name="_xlpm.chord" hidden="1" xlm="1">#NAME?</definedName>
    <definedName name="_xlpm.chord_txt" hidden="1" xlm="1">#NAME?</definedName>
    <definedName name="_xlpm.col" hidden="1" xlm="1">#NAME?</definedName>
    <definedName name="_xlpm.col_checker" hidden="1" xlm="1">#NAME?</definedName>
    <definedName name="_xlpm.col_found" hidden="1" xlm="1">#NAME?</definedName>
    <definedName name="_xlpm.col_index" hidden="1" xlm="1">#NAME?</definedName>
    <definedName name="_xlpm.col_label" hidden="1" xlm="1">#NAME?</definedName>
    <definedName name="_xlpm.col_letter" hidden="1" xlm="1">#NAME?</definedName>
    <definedName name="_xlpm.col_name" hidden="1" xlm="1">#NAME?</definedName>
    <definedName name="_xlpm.col_rep" hidden="1" xlm="1">#NAME?</definedName>
    <definedName name="_xlpm.compare" hidden="1" xlm="1">#NAME?</definedName>
    <definedName name="_xlpm.compare_value" hidden="1" xlm="1">#NAME?</definedName>
    <definedName name="_xlpm.count_elements" hidden="1" xlm="1">#NAME?</definedName>
    <definedName name="_xlpm.differences" hidden="1" xlm="1">#NAME?</definedName>
    <definedName name="_xlpm.earnix_name" hidden="1" xlm="1">#NAME?</definedName>
    <definedName name="_xlpm.elem" hidden="1" xlm="1">#NAME?</definedName>
    <definedName name="_xlpm.emblem_name" hidden="1" xlm="1">#NAME?</definedName>
    <definedName name="_xlpm.end_with" hidden="1" xlm="1">#NAME?</definedName>
    <definedName name="_xlpm.equal_as_lower_val" hidden="1" xlm="1">#NAME?</definedName>
    <definedName name="_xlpm.escaped_pattern" hidden="1" xlm="1">#NAME?</definedName>
    <definedName name="_xlpm.exclude" hidden="1" xlm="1">#NAME?</definedName>
    <definedName name="_xlpm.feature" hidden="1" xlm="1">#NAME?</definedName>
    <definedName name="_xlpm.feature_f" hidden="1" xlm="1">#NAME?</definedName>
    <definedName name="_xlpm.feature_list" hidden="1" xlm="1">#NAME?</definedName>
    <definedName name="_xlpm.feature_row" hidden="1" xlm="1">#NAME?</definedName>
    <definedName name="_xlpm.feature1" hidden="1" xlm="1">#NAME?</definedName>
    <definedName name="_xlpm.feature2" hidden="1" xlm="1">#NAME?</definedName>
    <definedName name="_xlpm.fill_na" hidden="1" xlm="1">#NAME?</definedName>
    <definedName name="_xlpm.final_prompt" hidden="1" xlm="1">#NAME?</definedName>
    <definedName name="_xlpm.first_row" hidden="1" xlm="1">#NAME?</definedName>
    <definedName name="_xlpm.fixed_col" hidden="1" xlm="1">#NAME?</definedName>
    <definedName name="_xlpm.fixed_row" hidden="1" xlm="1">#NAME?</definedName>
    <definedName name="_xlpm.folder" hidden="1" xlm="1">#NAME?</definedName>
    <definedName name="_xlpm.folder_" hidden="1" xlm="1">#NAME?</definedName>
    <definedName name="_xlpm.group" hidden="1" xlm="1">#NAME?</definedName>
    <definedName name="_xlpm.group_name" hidden="1" xlm="1">#NAME?</definedName>
    <definedName name="_xlpm.index_level" hidden="1" xlm="1">#NAME?</definedName>
    <definedName name="_xlpm.index_seq" hidden="1" xlm="1">#NAME?</definedName>
    <definedName name="_xlpm.inline" hidden="1" xlm="1">#NAME?</definedName>
    <definedName name="_xlpm.input" hidden="1" xlm="1">#NAME?</definedName>
    <definedName name="_xlpm.input_text" hidden="1" xlm="1">#NAME?</definedName>
    <definedName name="_xlpm.interaction" hidden="1" xlm="1">#NAME?</definedName>
    <definedName name="_xlpm.keys" hidden="1" xlm="1">#NAME?</definedName>
    <definedName name="_xlpm.l" hidden="1" xlm="1">#NAME?</definedName>
    <definedName name="_xlpm.language" hidden="1" xlm="1">#NAME?</definedName>
    <definedName name="_xlpm.less_than_in" hidden="1" xlm="1">#NAME?</definedName>
    <definedName name="_xlpm.less_than_sign" hidden="1" xlm="1">#NAME?</definedName>
    <definedName name="_xlpm.level" hidden="1" xlm="1">#NAME?</definedName>
    <definedName name="_xlpm.level_col" hidden="1" xlm="1">#NAME?</definedName>
    <definedName name="_xlpm.level_rng" hidden="1" xlm="1">#NAME?</definedName>
    <definedName name="_xlpm.level_row" hidden="1" xlm="1">#NAME?</definedName>
    <definedName name="_xlpm.lo" hidden="1" xlm="1">#NAME?</definedName>
    <definedName name="_xlpm.loo" hidden="1" xlm="1">#NAME?</definedName>
    <definedName name="_xlpm.look" hidden="1" xlm="1">#NAME?</definedName>
    <definedName name="_xlpm.look_" hidden="1" xlm="1">#NAME?</definedName>
    <definedName name="_xlpm.look_arr" hidden="1" xlm="1">#NAME?</definedName>
    <definedName name="_xlpm.look_v" hidden="1" xlm="1">#NAME?</definedName>
    <definedName name="_xlpm.look_va" hidden="1" xlm="1">#NAME?</definedName>
    <definedName name="_xlpm.look_val" hidden="1" xlm="1">#NAME?</definedName>
    <definedName name="_xlpm.lookup_array" hidden="1" xlm="1">#NAME?</definedName>
    <definedName name="_xlpm.lookup_name" hidden="1" xlm="1">#NAME?</definedName>
    <definedName name="_xlpm.lookup_value" hidden="1" xlm="1">#NAME?</definedName>
    <definedName name="_xlpm.lower_bound" hidden="1" xlm="1">#NAME?</definedName>
    <definedName name="_xlpm.m" hidden="1" xlm="1">#NAME?</definedName>
    <definedName name="_xlpm.match_type" hidden="1" xlm="1">#NAME?</definedName>
    <definedName name="_xlpm.min_difference" hidden="1" xlm="1">#NAME?</definedName>
    <definedName name="_xlpm.more_than_in" hidden="1" xlm="1">#NAME?</definedName>
    <definedName name="_xlpm.more_than_sign" hidden="1" xlm="1">#NAME?</definedName>
    <definedName name="_xlpm.my_col" hidden="1" xlm="1">#NAME?</definedName>
    <definedName name="_xlpm.my_row" hidden="1" xlm="1">#NAME?</definedName>
    <definedName name="_xlpm.n" hidden="1" xlm="1">#NAME?</definedName>
    <definedName name="_xlpm.n_col" hidden="1" xlm="1">#NAME?</definedName>
    <definedName name="_xlpm.n_elements" hidden="1" xlm="1">#NAME?</definedName>
    <definedName name="_xlpm.n_options" hidden="1" xlm="1">#NAME?</definedName>
    <definedName name="_xlpm.n_row" hidden="1" xlm="1">#NAME?</definedName>
    <definedName name="_xlpm.new" hidden="1" xlm="1">#NAME?</definedName>
    <definedName name="_xlpm.new_key" hidden="1" xlm="1">#NAME?</definedName>
    <definedName name="_xlpm.NoSpaceLength" hidden="1" xlm="1">#NAME?</definedName>
    <definedName name="_xlpm.num_as_string" hidden="1" xlm="1">#NAME?</definedName>
    <definedName name="_xlpm.num_sheet" hidden="1" xlm="1">#NAME?</definedName>
    <definedName name="_xlpm.old_key" hidden="1" xlm="1">#NAME?</definedName>
    <definedName name="_xlpm.operator" hidden="1" xlm="1">#NAME?</definedName>
    <definedName name="_xlpm.output" hidden="1" xlm="1">#NAME?</definedName>
    <definedName name="_xlpm.pattern" hidden="1" xlm="1">#NAME?</definedName>
    <definedName name="_xlpm.prompt_text" hidden="1" xlm="1">#NAME?</definedName>
    <definedName name="_xlpm.prompt_word" hidden="1" xlm="1">#NAME?</definedName>
    <definedName name="_xlpm.prompt1" hidden="1" xlm="1">#NAME?</definedName>
    <definedName name="_xlpm.prompt2" hidden="1" xlm="1">#NAME?</definedName>
    <definedName name="_xlpm.prompt3" hidden="1" xlm="1">#NAME?</definedName>
    <definedName name="_xlpm.prompt4" hidden="1" xlm="1">#NAME?</definedName>
    <definedName name="_xlpm.prompt5" hidden="1" xlm="1">#NAME?</definedName>
    <definedName name="_xlpm.prompt6" hidden="1" xlm="1">#NAME?</definedName>
    <definedName name="_xlpm.prompt7" hidden="1" xlm="1">#NAME?</definedName>
    <definedName name="_xlpm.quote_type" hidden="1" xlm="1">#NAME?</definedName>
    <definedName name="_xlpm.r" hidden="1" xlm="1">#NAME?</definedName>
    <definedName name="_xlpm.range" hidden="1" xlm="1">#NAME?</definedName>
    <definedName name="_xlpm.result" hidden="1" xlm="1">#NAME?</definedName>
    <definedName name="_xlpm.return_arr" hidden="1" xlm="1">#NAME?</definedName>
    <definedName name="_xlpm.return_array" hidden="1" xlm="1">#NAME?</definedName>
    <definedName name="_xlpm.return1" hidden="1" xlm="1">#NAME?</definedName>
    <definedName name="_xlpm.return2" hidden="1" xlm="1">#NAME?</definedName>
    <definedName name="_xlpm.rng_1" hidden="1" xlm="1">#NAME?</definedName>
    <definedName name="_xlpm.row" hidden="1" xlm="1">#NAME?</definedName>
    <definedName name="_xlpm.row_checker" hidden="1" xlm="1">#NAME?</definedName>
    <definedName name="_xlpm.row_found" hidden="1" xlm="1">#NAME?</definedName>
    <definedName name="_xlpm.row_index" hidden="1" xlm="1">#NAME?</definedName>
    <definedName name="_xlpm.row_label" hidden="1" xlm="1">#NAME?</definedName>
    <definedName name="_xlpm.row_name" hidden="1" xlm="1">#NAME?</definedName>
    <definedName name="_xlpm.row_number" hidden="1" xlm="1">#NAME?</definedName>
    <definedName name="_xlpm.row_rep" hidden="1" xlm="1">#NAME?</definedName>
    <definedName name="_xlpm.search_rng" hidden="1" xlm="1">#NAME?</definedName>
    <definedName name="_xlpm.second" hidden="1" xlm="1">#NAME?</definedName>
    <definedName name="_xlpm.seed" hidden="1" xlm="1">#NAME?</definedName>
    <definedName name="_xlpm.sentence" hidden="1" xlm="1">#NAME?</definedName>
    <definedName name="_xlpm.sentence_list" hidden="1" xlm="1">#NAME?</definedName>
    <definedName name="_xlpm.sentence1" hidden="1" xlm="1">#NAME?</definedName>
    <definedName name="_xlpm.sentence2" hidden="1" xlm="1">#NAME?</definedName>
    <definedName name="_xlpm.shift" hidden="1" xlm="1">#NAME?</definedName>
    <definedName name="_xlpm.simp" hidden="1" xlm="1">#NAME?</definedName>
    <definedName name="_xlpm.start_level_row" hidden="1" xlm="1">#NAME?</definedName>
    <definedName name="_xlpm.start_with" hidden="1" xlm="1">#NAME?</definedName>
    <definedName name="_xlpm.subject" hidden="1" xlm="1">#NAME?</definedName>
    <definedName name="_xlpm.t" hidden="1" xlm="1">#NAME?</definedName>
    <definedName name="_xlpm.table" hidden="1" xlm="1">#NAME?</definedName>
    <definedName name="_xlpm.table1" hidden="1" xlm="1">#NAME?</definedName>
    <definedName name="_xlpm.table2" hidden="1" xlm="1">#NAME?</definedName>
    <definedName name="_xlpm.tense" hidden="1" xlm="1">#NAME?</definedName>
    <definedName name="_xlpm.text" hidden="1" xlm="1">#NAME?</definedName>
    <definedName name="_xlpm.title" hidden="1" xlm="1">#NAME?</definedName>
    <definedName name="_xlpm.to" hidden="1" xlm="1">#NAME?</definedName>
    <definedName name="_xlpm.to_" hidden="1" xlm="1">#NAME?</definedName>
    <definedName name="_xlpm.to_s" hidden="1" xlm="1">#NAME?</definedName>
    <definedName name="_xlpm.to_sh" hidden="1" xlm="1">#NAME?</definedName>
    <definedName name="_xlpm.to_sho" hidden="1" xlm="1">#NAME?</definedName>
    <definedName name="_xlpm.to_show" hidden="1" xlm="1">#NAME?</definedName>
    <definedName name="_xlpm.trad" hidden="1" xlm="1">#NAME?</definedName>
    <definedName name="_xlpm.TrimmedLength" hidden="1" xlm="1">#NAME?</definedName>
    <definedName name="_xlpm.TrimmedText" hidden="1" xlm="1">#NAME?</definedName>
    <definedName name="_xlpm.upper_bound" hidden="1" xlm="1">#NAME?</definedName>
    <definedName name="_xlpm.vals" hidden="1" xlm="1">#NAME?</definedName>
    <definedName name="_xlpm.value" hidden="1" xlm="1">#NAME?</definedName>
    <definedName name="_xlpm.value_array" hidden="1" xlm="1">#NAME?</definedName>
    <definedName name="_xlpm.value_list" hidden="1" xlm="1">#NAME?</definedName>
    <definedName name="_xlpm.value_table" hidden="1" xlm="1">#NAME?</definedName>
    <definedName name="_xlpm.values" hidden="1" xlm="1">#NAME?</definedName>
    <definedName name="_xlpm.values_include" hidden="1" xlm="1">#NAME?</definedName>
    <definedName name="_xlpm.verb" hidden="1" xlm="1">#NAME?</definedName>
    <definedName name="_xlpm.vertical" hidden="1" xlm="1">#NAME?</definedName>
    <definedName name="_xlpm.vocab" hidden="1" xlm="1">#NAME?</definedName>
    <definedName name="_xlpm.wb" hidden="1" xlm="1">#NAME?</definedName>
    <definedName name="_xlpm.wb_bracket" hidden="1" xlm="1">#NAME?</definedName>
    <definedName name="_xlpm.word" hidden="1" xlm="1">#NAME?</definedName>
    <definedName name="_xlpm.ws" hidden="1" xlm="1">#NAME?</definedName>
    <definedName name="_xlpm.ws_name" hidden="1" xlm="1">#NAME?</definedName>
    <definedName name="_xlpm.x" hidden="1" xlm="1">#NAME?</definedName>
    <definedName name="_xlpm.y" hidden="1" xlm="1">#NAME?</definedName>
    <definedName name="_xlpm.Δ" hidden="1" xlm="1">#NAME?</definedName>
    <definedName name="A_AllSame">_xlfn.LAMBDA(_xlpm.array, _xlfn.LET(_xlpm.array,_xlpm.array, COUNTIF(_xlpm.array,INDEX(_xlpm.array,1)) = COUNTA(_xlpm.array)))</definedName>
    <definedName name="A_Duplicate_f" comment="the duplication but using LAMBDA to improve the speed">_xlfn.LAMBDA(_xlpm.arr,_xlop.n,_xlfn.LET(_xlpm.arr, _xlpm.arr, _xlpm.n, IF(_xlfn.ISOMITTED(_xlpm.n), 1, _xlpm.n), _xlpm.n_elements, D_CountCells(_xlpm.arr), _xlpm.index_seq, _xlfn.MAKEARRAY(_xlpm.n * _xlpm.n_elements, 1, _xlfn.LAMBDA(_xlpm.r,_xlpm.c, IF(MOD(_xlpm.r, _xlpm.n_elements) &lt;&gt; 0, MOD(_xlpm.r, _xlpm.n_elements), _xlpm.n_elements))), _xlpm.ans, INDEX(_xlpm.arr, _xlpm.index_seq), _xlpm.ans))</definedName>
    <definedName name="D_CountCells" comment="count the includes empty cells">_xlfn.LAMBDA(_xlpm.rng_1,ROWS(_xlpm.rng_1) * COLUMNS(_xlpm.rng_1))</definedName>
    <definedName name="D_DeleteBlank" comment="Delete the blank rows">_xlfn.LAMBDA(_xlpm.input,_xlfn._xlws.FILTER(_xlpm.input, _xlpm.input &lt;&gt; "", ""))</definedName>
    <definedName name="D_isTradition" comment="No Dependency" localSheetId="0">_xlfn.LAMBDA(_xlpm.trad,_xlpm.simp, IF(_xlpm.trad=_xlpm.simp,"",_xlpm.trad))</definedName>
    <definedName name="D_isTradition" comment="No Dependency">_xlfn.LAMBDA(_xlpm.trad,_xlpm.simp, IF(_xlpm.trad=_xlpm.simp,"",_xlpm.trad))</definedName>
    <definedName name="D_IsZero">_xlfn.LAMBDA(_xlpm.range, IF( (_xlpm.range=0)*NOT(ISBLANK(_xlpm.range)), TRUE, FALSE)  )</definedName>
    <definedName name="D_pseudo" comment="No Dependency" localSheetId="0">_xlfn.LAMBDA(_xlpm.x,   _xlfn.LET(_xlpm.a,75,_xlpm.c,74,_xlpm.m,65537,  MOD(_xlpm.a*_xlpm.x+_xlpm.c,_xlpm.m)))</definedName>
    <definedName name="D_pseudo" comment="No Dependency">_xlfn.LAMBDA(_xlpm.x,   _xlfn.LET(_xlpm.a,75,_xlpm.c,74,_xlpm.m,65537,  MOD(_xlpm.a*_xlpm.x+_xlpm.c,_xlpm.m)))</definedName>
    <definedName name="D_RandRank" comment="No Dependency" localSheetId="0">_xlfn.LAMBDA(_xlpm.n, _xlfn.SORTBY(_xlfn.SEQUENCE(_xlpm.n),_xlfn.RANDARRAY(_xlpm.n)))</definedName>
    <definedName name="D_RandRank" comment="No Dependency">_xlfn.LAMBDA(_xlpm.n, _xlfn.SORTBY(_xlfn.SEQUENCE(_xlpm.n),_xlfn.RANDARRAY(_xlpm.n)))</definedName>
    <definedName name="D_Rept">_xlfn.LAMBDA(_xlpm.text,_xlpm.n_row,_xlop.n_col,IF(_xlfn.ISOMITTED(_xlpm.n_col), INDEX(_xlfn.SWITCH(_xlfn.SEQUENCE(_xlpm.n_row, _xlpm.n_col, 1, 0), 1, _xlpm.text), ), INDEX(_xlfn.SWITCH(_xlfn.SEQUENCE(_xlpm.n_row, 1, 1, 0), 1, _xlpm.text), )))</definedName>
    <definedName name="D_ShowHide" localSheetId="0">_xlfn.LAMBDA(_xlpm.checker,_xlpm.to_show,_xlpm.look_arr,_xlpm.return_arr, IF(_xlpm.checker=0,"",_xlfn.XLOOKUP(_xlpm.to_show,_xlpm.look_arr,_xlpm.return_arr)))</definedName>
    <definedName name="D_ShowHide">_xlfn.LAMBDA(_xlpm.checker,_xlpm.to_show,_xlpm.look_arr,_xlpm.return_arr,IF(_xlpm.checker = 0, "", _xlfn.XLOOKUP(_xlpm.to_show, _xlpm.look_arr, _xlpm.return_arr)))</definedName>
    <definedName name="D_Shuffle" comment="No Dependency" localSheetId="0">_xlfn.LAMBDA(_xlpm.arr,   _xlfn.SORTBY(_xlpm.arr,_xlfn.RANDARRAY(ROWS(_xlpm.arr))))</definedName>
    <definedName name="D_Shuffle" comment="No Dependency">_xlfn.LAMBDA(_xlpm.arr,   _xlfn.SORTBY(_xlpm.arr,_xlfn.RANDARRAY(ROWS(_xlpm.arr))))</definedName>
    <definedName name="D_start_srand" comment="No Dependency" localSheetId="0">_xlfn.LAMBDA(_xlpm.n,   Video_syn!D_pseudo(Video_syn!D_pseudo(Video_syn!D_pseudo(_xlpm.n))))</definedName>
    <definedName name="D_start_srand" comment="No Dependency">_xlfn.LAMBDA(_xlpm.n,   D_pseudo(D_pseudo(D_pseudo(_xlpm.n))))</definedName>
    <definedName name="D_toSecond" localSheetId="0">_xlfn.LAMBDA(_xlpm.x,   _xlfn.FLOOR.MATH(_xlpm.x)*60+MOD(_xlpm.x*100,100))</definedName>
    <definedName name="D_toSecond">_xlfn.LAMBDA(_xlpm.x,   _xlfn.FLOOR.MATH(_xlpm.x)*60+MOD(_xlpm.x*100,100))</definedName>
    <definedName name="DuolingoPT">_xlfn.LAMBDA(_xlpm.vocab,_xlpm.output, IF(_xlpm.output=0,_xlfn.XLOOKUP(_xlpm.vocab,VocabA,VocabB,"Not in Duolingo",2), _xlfn.XLOOKUP(_xlpm.vocab,VocabA,VocabC,"Not in Duolingo",2)))</definedName>
    <definedName name="FD_ContainText">_xlfn.LAMBDA(_xlpm.text,_xlpm.pattern,_xlfn._xlws.FILTER(_xlpm.text, St_ContainText(_xlpm.text, _xlpm.pattern)))</definedName>
    <definedName name="FD_EndWith">_xlfn.LAMBDA(_xlpm.text,_xlpm.end_with,_xlfn._xlws.FILTER(_xlpm.text, St_EndWith(_xlpm.text, _xlpm.end_with)))</definedName>
    <definedName name="FD_StartWith">_xlfn.LAMBDA(_xlpm.text,_xlpm.start_with,_xlfn._xlws.FILTER(_xlpm.text, St_StartWith(_xlpm.text, _xlpm.start_with)))</definedName>
    <definedName name="FG_FindInteractionCol">_xlfn.LAMBDA(_xlpm.interaction,_xlpm.search_rng, _xlfn.LET(_xlpm.interaction,_xlpm.interaction, _xlpm.feature1, TRIM(_xlfn.TEXTBEFORE(_xlpm.interaction,"*")), _xlpm.feature2, TRIM(_xlfn.TEXTAFTER(_xlpm.interaction,"*")), _xlpm.search_rng,  _xlpm.search_rng,  _xlpm.adr_1,  IFERROR( St_RemoveNum( SUBSTITUTE(CELL("address",_xlfn.XLOOKUP(_xlpm.feature1,_xlpm.search_rng,_xlpm.search_rng)),"$","")), ""), _xlpm.adr_2,  IFERROR( St_RemoveNum( SUBSTITUTE(CELL("address",_xlfn.XLOOKUP(_xlpm.feature2,_xlpm.search_rng,_xlpm.search_rng)),"$","")), ""),  _xlpm.adr_1 &amp; " * " &amp; _xlpm.adr_2 ))</definedName>
    <definedName name="FG_Interaction" comment="find interaction for emblem betas">_xlfn.LAMBDA(_xlpm.level_row,_xlpm.level_col,_xlpm.interaction,_xlpm.num_sheet,_xlop.group_name,_xlop.lookup_name,_xlfn.LET(_xlpm.level_row, _xlpm.level_row, _xlpm.level_col, _xlpm.level_col, _xlpm.interaction, _xlpm.interaction, _xlpm.num_sheet, _xlpm.num_sheet, _xlpm.group_name, _xlpm.group_name, _xlpm.lookup_name, _xlpm.lookup_name, FG_InteractionVB(_xlpm.level_row, _xlpm.level_col, _xlpm.interaction, _xlpm.num_sheet, _xlpm.group_name, _xlpm.lookup_name)))</definedName>
    <definedName name="Fl_Between" comment="Filter between values, default will include lower_bound and upper_bound value">_xlfn.LAMBDA(_xlpm.array,_xlpm.value_array,_xlpm.lower_bound,_xlpm.upper_bound,_xlop.more_than_sign,_xlop.less_than_sign,_xlfn.LET(_xlpm.array, _xlpm.array, _xlpm.value_array, _xlpm.value_array, _xlpm.lower_bound, _xlpm.lower_bound, _xlpm.upper_bound, _xlpm.upper_bound, _xlpm.more_than_sign, IF(_xlfn.ISOMITTED(_xlpm.more_than_sign), "&gt;=", _xlpm.more_than_sign), _xlpm.less_than_sign, IF(_xlfn.ISOMITTED(_xlpm.less_than_sign), "&lt;=", _xlpm.less_than_sign), _xlfn._xlws.FILTER(_xlpm.array, Fl_BetweenOperator(_xlpm.value_array, _xlpm.lower_bound, _xlpm.upper_bound, _xlpm.more_than_sign, _xlpm.less_than_sign))))</definedName>
    <definedName name="Fl_BetweenOperator" comment="Helper function for Fl_Compare that will allow users to change the operator from _x000a_using between(2 conditions with and)">_xlfn.LAMBDA(_xlpm.array,_xlpm.lower_bound,_xlpm.upper_bound,_xlop.more_than_sign,_xlop.less_than_sign,_xlfn.LET(_xlpm.array, _xlpm.array, _xlpm.lower_bound, _xlpm.lower_bound, _xlpm.upper_bound, _xlpm.upper_bound, _xlpm.more_than_sign, IF(_xlfn.ISOMITTED(_xlpm.more_than_sign), "&gt;=", _xlpm.more_than_sign), _xlpm.less_than_sign, IF(_xlfn.ISOMITTED(_xlpm.less_than_sign), "&lt;=", _xlpm.less_than_sign), _xlpm.less_than_in, _xlfn.SWITCH(_xlpm.less_than_sign, "&lt;", "&lt;", "less than", "&lt;", "&lt;=", "&lt;=", "less than or equal to", "&lt;", ), _xlpm.more_than_in, _xlfn.SWITCH(_xlpm.more_than_sign, "&gt;", "&gt;", "more than", "&gt;", "greater than", "&gt;", "&gt;=", "&gt;=", "more than or equal to", "&gt;=", "greater than or equal to", "&gt;=", ), _xlfn.SWITCH(TRUE(), AND((_xlpm.more_than_in = "&gt;"), (_xlpm.less_than_in = "&lt;")), (_xlpm.array &gt; _xlpm.lower_bound) * (_xlpm.array &lt; _xlpm.upper_bound), AND((_xlpm.more_than_in = "&gt;"), (_xlpm.less_than_in = "&lt;=")), (_xlpm.array &gt; _xlpm.lower_bound) * (_xlpm.array &lt;= _xlpm.upper_bound), AND((_xlpm.more_than_in = "&gt;="), (_xlpm.less_than_in = "&lt;")), (_xlpm.array &gt;= _xlpm.lower_bound) * (_xlpm.array &lt; _xlpm.upper_bound), AND((_xlpm.more_than_in = "&gt;="), (_xlpm.less_than_in = "&lt;=")), (_xlpm.array &gt;= _xlpm.lower_bound) * (_xlpm.array &lt;= _xlpm.upper_bound))))</definedName>
    <definedName name="Fl_Compare" comment="This function is the extension of normal Filter function that allow users to change =, &lt;, &gt;">_xlfn.LAMBDA(_xlpm.array,_xlpm.value_array,_xlpm.operator,_xlpm.compare_value,_xlfn.LET(_xlpm.array, _xlpm.array, _xlpm.value_array, _xlpm.value_array, _xlpm.operator, _xlpm.operator, _xlpm.compare_value, _xlpm.compare_value, _xlfn._xlws.FILTER(_xlpm.array, Fl_CompareOperator(_xlpm.value_array, _xlpm.operator, _xlpm.compare_value))))</definedName>
    <definedName name="Fl_CompareOperator" comment="Helper function for Fl_Compare that will allow users to change the operator from {&lt;, &gt;, =}">_xlfn.LAMBDA(_xlpm.array,_xlpm.compare,_xlpm.compare_value,_xlfn.LET(_xlpm.array, _xlpm.array, _xlpm.compare, _xlpm.compare, _xlpm.compare_value, _xlpm.compare_value, _xlfn.SWITCH(_xlpm.compare, "&lt;", _xlpm.array &lt; _xlpm.compare_value, "less than", _xlpm.array &lt; _xlpm.compare_value, "&gt;", _xlpm.array &gt; _xlpm.compare_value, "more than", _xlpm.array &gt; _xlpm.compare_value, "greater than", _xlpm.array &gt; _xlpm.compare_value, "=", _xlpm.array = _xlpm.compare_value, "equal to", _xlpm.array = _xlpm.compare_value, "&lt;&gt;", _xlpm.array &lt;&gt; _xlpm.compare_value, "!=", _xlpm.array &lt;&gt; _xlpm.compare_value, "not equal to", _xlpm.array &lt;&gt; _xlpm.compare_value, "&gt;=", _xlpm.array &gt;= _xlpm.compare_value, "&lt;=", _xlpm.array &lt;= _xlpm.compare_value, "more than or equal to", _xlpm.array &gt;= _xlpm.compare_value, "greater than or equal to", _xlpm.array &gt;= _xlpm.compare_value, "at least", _xlpm.array &gt;= _xlpm.compare_value, "less than or equal to", _xlpm.array &lt;= _xlpm.compare_value, "at most", _xlpm.array &lt;= _xlpm.compare_value)))</definedName>
    <definedName name="Fl_ContainText_f" comment="work only when pattern is just 1 string not array">_xlfn.LAMBDA(_xlpm.text,_xlpm.pattern, _xlfn.LET(      _xlpm.pattern,  IF((_xlpm.pattern = "?")+(_xlpm.pattern = "*"),                     "~" &amp; _xlpm.pattern,                     _xlpm.pattern),      _xlpm.text, _xlpm.text, _xlfn._xlws.FILTER(_xlpm.text,ISNUMBER(SEARCH(_xlpm.pattern,_xlpm.text)))))</definedName>
    <definedName name="Fl_ContainText_s" comment="work only when pattern is just 1 string not array">_xlfn.LAMBDA(_xlpm.text,_xlpm.pattern, _xlfn.LET(      _xlpm.pattern,  IF((_xlpm.pattern = "?")+(_xlpm.pattern = "*"),                     "~" &amp; _xlpm.pattern,                     _xlpm.pattern),      _xlpm.text, _xlpm.text, _xlfn._xlws.FILTER(_xlpm.text,ISNUMBER(SEARCH(_xlpm.pattern,_xlpm.text)))))</definedName>
    <definedName name="Fl_Duplicate" comment="Find the elements that are duplicated">_xlfn.LAMBDA(_xlpm.arr,_xlfn.LET(_xlpm.arr, _xlpm.arr, _xlpm.count_elements, COUNTIFS(_xlpm.arr, _xlpm.arr), _xlfn.UNIQUE(_xlfn._xlws.FILTER(_xlpm.arr, _xlpm.count_elements &gt; 1))))</definedName>
    <definedName name="Fl_Filter_2d" comment="return the (row_name, col_name) pairs with values_include is similar to the input of FILTER function">_xlfn.LAMBDA(_xlpm.row_name,_xlpm.col_name,_xlpm.values_include,_xlfn.LET(_xlpm.row_name, _xlpm.row_name, _xlpm.col_name, _xlpm.col_name, _xlpm.values_include, _xlpm.values_include, _xlpm.n_row, COUNTA(_xlpm.row_name), _xlpm.n_col, COUNTA(_xlpm.col_name), _xlpm.row_checker, _xlfn.TOCOL(SIGN(_xlpm.values_include), , TRUE), _xlpm.col_checker, _xlfn.TOCOL(SIGN(_xlpm.values_include)), _xlpm.row_rep, A_Duplicate_f(_xlpm.row_name, _xlpm.n_col), _xlpm.col_rep, A_Duplicate_f(_xlpm.col_name, _xlpm.n_row), _xlpm.row_found, _xlfn._xlws.FILTER(_xlpm.row_rep, _xlpm.row_checker = 1), _xlpm.col_found, _xlfn._xlws.SORT(_xlfn._xlws.FILTER(_xlpm.col_rep, _xlpm.col_checker = 1)), _xlpm.ans, _xlfn.HSTACK(_xlpm.row_found, _xlpm.col_found), _xlpm.ans))</definedName>
    <definedName name="Fl_FilterExclude" comment="Exclude all elements in 'exlcude' from arr">_xlfn.LAMBDA(_xlpm.arr,_xlpm.exclude,IFERROR(_xlfn._xlws.FILTER(_xlpm.arr, NOT(ISNUMBER(MATCH(_xlpm.arr, _xlpm.exclude, 0)))), "None Left"))</definedName>
    <definedName name="GPT_Lookup" comment="return the most similar sentences, this is supposed to work for all languages combinations">_xlfn.LAMBDA(_xlpm.sentence,_xlpm.sentence_list,_xlfn.LET(_xlpm.sentence, _xlpm.sentence, _xlpm.sentence_list, _xlpm.sentence_list, _xlpm.n_options, COUNTA(_xlpm.sentence_list), _xlpm.prompt1, "This is the sentence that I want to map to called sen1:", _xlpm.prompt2, "There are " &amp; _xlpm.n_options &amp; " options of sentences seperated by semi colon:", _xlpm.prompt3, _xlfn.TEXTJOIN("; ", TRUE, _xlpm.sentence_list), _xlpm.prompt4, "find the closest  sentences from these " &amp; _xlpm.n_options &amp; " options that have the same meaning as sen1, ", _xlpm.prompt5, "and output your answer as a whole sentences only without any explanations.", _xlpm.prompt6, "Note that the output should only be in 1 of these " &amp; _xlpm.n_options &amp; " options.", _xlpm.prompt7, "If None is similar return this text: None is similar to input sentence", IF(_xlpm.sentence = "", "input sentence is empty", _xldudf_LABS_GENERATIVEAI(_xlpm.prompt1 &amp; """" &amp; _xlpm.sentence &amp; """." &amp; _xlpm.prompt2 &amp; _xlpm.prompt3 &amp; _xlpm.prompt4 &amp; _xlpm.prompt5 &amp; _xlpm.prompt6 &amp; _xlpm.prompt7, 0))))</definedName>
    <definedName name="GPT_SimilarScore">_xlfn.LAMBDA(_xlpm.sentence1,_xlpm.sentence2,_xlfn.LET(_xlpm.prompt_text, "Given 2 sentences is these 2 sentences mean the same? Give the score where 0 is not similar at all while 100 has the exact same meaning, output number only(don't include any text in your output) :", St_GetNum(_xldudf_LABS_GENERATIVEAI(_xlpm.prompt_text &amp; _xlpm.sentence1 &amp; " &amp; " &amp; _xlpm.sentence2, 0))))</definedName>
    <definedName name="GPT_SimilarScore2" comment="Upgrade version of GPT_SimilarScore, that can work with multiple sentences, _x000a_doesn't work that well compared to GPT_SimilarScore">_xlfn.LAMBDA(_xlpm.sentence,_xlpm.sentence_list,_xlfn.LET(_xlpm.sentence, _xlpm.sentence, _xlpm.sentence_list, _xlpm.sentence_list, _xlpm.n_options, COUNTA(_xlpm.sentence_list), _xlpm.prompt1, "This is the sentence that I want to compare with:", _xlpm.prompt2, "There are " &amp; _xlpm.n_options &amp; " options of sentences seperated by semi colon:", _xlpm.prompt3, _xlfn.TEXTJOIN("; ", TRUE, _xlpm.sentence_list), _xlpm.prompt4, "find the similar scores of each of these " &amp; _xlpm.n_options &amp; " sentences against sen1, where 0 means not similar at all and 100 means it has exact same meaning, be conservative ", _xlpm.prompt5, "and output your answer as a number seperated by semi-colon  without any explanations.", IF(_xlpm.sentence = "", "input sentence is empty", _xlfn.TEXTSPLIT(_xldudf_LABS_GENERATIVEAI(_xlpm.prompt1 &amp; """" &amp; _xlpm.sentence &amp; """." &amp; _xlpm.prompt2 &amp; _xlpm.prompt3 &amp; _xlpm.prompt4 &amp; _xlpm.prompt5, 0), , "; "))))</definedName>
    <definedName name="GPT_WhatLanguage">_xlfn.LAMBDA(_xlpm.sentence,_xlfn.LET(_xlpm.prompt1, "What is the language(Just output the language name):", _xldudf_LABS_GENERATIVEAI(_xlpm.prompt1 &amp; _xlpm.sentence, 0)))</definedName>
    <definedName name="L_ConjuVPT_L">_xlfn.LAMBDA(_xlpm.verb,_xlpm.subject,_xlpm.tense, L_ConjuVPT(_xlpm.verb,_xlpm.subject,_xlpm.tense))</definedName>
    <definedName name="LGP_Infinitive" comment="return the infinitive form">_xlfn.LAMBDA(_xlpm.verb,_xldudf_LABS_GENERATIVEAI("convert " &amp; St_AddQuote(_xlpm.verb) &amp; " into the infinitive form if it's not a verb return 'Not a verb': 
return only output without explaination; if it's already infinitive just output the input given back", 0, , "gpt-4"))</definedName>
    <definedName name="LGP_IPA" comment="return International Phonetic alphabet for given text. By default it would detect language automatically.">_xlfn.LAMBDA(_xlpm.input_text,_xlop.language,_xlfn.LET(_xlpm.input_text, _xlpm.input_text, _xlpm.language, IF(_xlfn.ISOMITTED(_xlpm.language), GPT_WhatLanguage(_xlpm.input_text), _xlpm.language), _xlpm.prompt1, " return IPA(only)(start and end your answer with /) and separate the syllebus within word using 1 dot and 1 space for seperate word, do it for this sentence/words: ", _xlpm.final_prompt, "In " &amp; _xlpm.language &amp; _xlpm.prompt1 &amp; St_AddQuote(_xlpm.input_text), _xldudf_LABS_GENERATIVEAI(_xlpm.final_prompt, 0, , "gpt-4")))</definedName>
    <definedName name="LGP_SpeechPart" comment="return the part of speech... Noun, Verb, Adjective,....">_xlfn.LAMBDA(_xlpm.word,_xlfn.LET(_xlpm.word, _xlpm.word, _xlpm.prompt1, "What is the part of speech of this word: ", _xlpm.prompt_word, _xlpm.prompt1 &amp; """" &amp; _xlpm.word &amp; """,", _xlpm.prompt2, "return only 9 options: Noun, Pronoun, Verb, Adjective, Adverb, Preposition, Conjunction, Interjection, Not a single word;", _xlpm.prompt3, "If a preposition is attached to the verb then the output would be ""Verb"" eg ""gostar de"", ""falar do"", ""é capaz de"", ""get rid of"", ""able to""", _xlpm.prompt4, "If adjective is atteched to the noun then return ""Noun""; eg. ""pessoas fechadas"", ""sido afetadas""", _xlpm.prompt5, "example of ""Not a word"": ""apertem seus cintos""", _xlpm.prompt6, "In case it's more than one return the output with comma, eg: Verb, Adjective; please return only the output not any explanation", _xldudf_LABS_GENERATIVEAI(_xlpm.prompt1 &amp; _xlpm.prompt_word &amp; _xlpm.prompt2 &amp; _xlpm.prompt3 &amp; _xlpm.prompt4 &amp; _xlpm.prompt5 &amp; _xlpm.prompt6, 0, , "gpt-4")))</definedName>
    <definedName name="LGT_Infinitive" comment="return the infinitive form">_xlfn.LAMBDA(_xlpm.verb,_xldudf_LABS_GENERATIVEAI("convert " &amp; [0]!St_AddQuote(_xlpm.verb) &amp; " into the infinitive form if it's not a verb return 'Not a verb': 
return only output without explaination; if it's already infinitive just output the input given back", 0, , "gpt-4"))</definedName>
    <definedName name="LGT_SpeechPart" comment="return the part of speech... Noun, Verb, Adjective,....">_xlfn.LAMBDA(_xlpm.word,_xlfn.LET(_xlpm.word, _xlpm.word, _xlpm.prompt1, "What is the part of speech of this word: ", _xlpm.prompt_word, _xlpm.prompt1 &amp; """" &amp; _xlpm.word &amp; """,", _xlpm.prompt2, "return only 9 options: Noun, Pronoun, Verb, Adjective, Adverb, Preposition, Conjunction, Interjection, Not a single word;", _xlpm.prompt3, "If a preposition is attached to the verb then the output would be ""Verb"" eg ""gostar de"", ""falar do"", ""é capaz de"", ""get rid of"", ""able to""", _xlpm.prompt4, "If adjective is atteched to the noun then return ""Noun""; eg. ""pessoas fechadas"", ""sido afetadas""", _xlpm.prompt5, "example of ""Not a word"": ""apertem seus cintos""", _xlpm.prompt6, "In case it's more than one return the output with comma, eg: Verb, Adjective; please return only the output not any explanation", _xldudf_LABS_GENERATIVEAI(_xlpm.prompt1 &amp; _xlpm.prompt_word &amp; _xlpm.prompt2 &amp; _xlpm.prompt3 &amp; _xlpm.prompt4 &amp; _xlpm.prompt5 &amp; _xlpm.prompt6, 0, , "gpt-4")))</definedName>
    <definedName name="M_ChangeKey" localSheetId="0">_xlfn.LAMBDA(_xlpm.chord_txt,_xlpm.shift, [1]!M_ChangeKeyVB(_xlpm.chord_txt,_xlpm.shift))</definedName>
    <definedName name="M_ChangeKey">_xlfn.LAMBDA(_xlpm.chord_txt,_xlpm.shift,M_ChangeKeyVB(_xlpm.chord_txt,_xlpm.shift))</definedName>
    <definedName name="M_Transpose">_xlfn.LAMBDA(_xlpm.chord,_xlpm.old_key,_xlpm.new_key,M_TransposeVB(_xlpm.chord,_xlpm.old_key,_xlpm.new_key))</definedName>
    <definedName name="O_FillColor">GET.CELL(63,INDIRECT("rc",FALSE))</definedName>
    <definedName name="Py_Dict">_xlfn.LAMBDA(_xlpm.keys,_xlpm.values,_xlop.inline,_xlop.num_as_string,_xlop.fill_na,Py_DictVB(_xlpm.keys, _xlpm.values, _xlpm.inline, _xlpm.num_as_string, _xlpm.fill_na))</definedName>
    <definedName name="R_Shuffle">_xlfn.LAMBDA(_xlpm.x,  _xlfn.SORTBY(_xlpm.x,_xlfn.RANDARRAY(LEN(_xlpm.x))))</definedName>
    <definedName name="R_ShuffleFixed" localSheetId="0">_xlfn.LAMBDA(_xlpm.seed,_xlpm.arr,   _xlfn.SORTBY(_xlpm.arr,[1]!R_srand(_xlpm.seed,ROWS(_xlpm.arr))))</definedName>
    <definedName name="R_ShuffleFixed">_xlfn.LAMBDA(_xlpm.seed,_xlpm.arr,   _xlfn.SORTBY(_xlpm.arr,R_srand(_xlpm.seed,ROWS(_xlpm.arr))))</definedName>
    <definedName name="Rg_Address" comment="return the address of the cell">_xlfn.LAMBDA(_xlpm.cell,_xlop.fixed_col,_xlop.fixed_row,_xlfn.LET(_xlpm.col, COLUMN(_xlpm.cell), _xlpm.row, ROW(_xlpm.cell), _xlpm.col_letter, SUBSTITUTE(ADDRESS(1, _xlpm.col, 4), "1", ""), _xlpm.row_number, TEXT(_xlpm.row, "0"), _xlpm.fixed_col, IF(_xlfn.ISOMITTED(_xlpm.fixed_col), FALSE, _xlpm.fixed_col), _xlpm.fixed_row, IF(_xlfn.ISOMITTED(_xlpm.fixed_row), FALSE, _xlpm.fixed_row), _xlpm.address, IF(_xlpm.fixed_col, "$", "") &amp; _xlpm.col_letter &amp; IF(_xlpm.fixed_row, "$", "") &amp; _xlpm.row_number, _xlpm.address))</definedName>
    <definedName name="Rg_CellByAdr">_xlfn.LAMBDA(_xlpm.range,_xlop.ws,_xlop.wb,_xlop.folder, _xlfn.LET(_xlpm.range,_xlpm.range,   _xlpm.ws,_xlpm.ws,  _xlpm.wb,_xlpm.wb,     _xlpm.folder,_xlpm.folder,  _xlpm.adr, Rg_WriteAdr(_xlpm.range,_xlpm.ws,_xlpm.wb,_xlpm.folder),  INDIRECT(_xlpm.adr)      ) )</definedName>
    <definedName name="Rg_WriteAdr">_xlfn.LAMBDA(_xlpm.range,_xlop.ws,_xlop.wb,_xlop.folder, _xlfn.LET( _xlpm.range, _xlpm.range, _xlpm.ws, IF(_xlfn.ISOMITTED(_xlpm.ws), "", _xlpm.ws), _xlpm.wb, IF(_xlfn.ISOMITTED(_xlpm.wb), "", _xlpm.wb), _xlpm.folder_, _xlfn.SWITCH(NOT(_xlfn.ISOMITTED(_xlpm.folder)), RIGHT(_xlpm.folder,1) = "\", _xlpm.folder, _xlpm.folder &amp; "\"),  _xlpm.wb_bracket, "[" &amp; _xlpm.wb &amp; "]",  _xlfn.SWITCH(TRUE(), NOT(_xlfn.ISOMITTED(_xlpm.folder)) * (_xlpm.folder &lt;&gt; ""),    "'" &amp; _xlpm.folder_ &amp; _xlpm.wb_bracket &amp; _xlpm.ws &amp;"'!" &amp; _xlpm.range, _xlpm.ws = "",    _xlpm.range, _xlpm.wb = "",    _xlpm.ws &amp;"!" &amp; _xlpm.range, "[" &amp; _xlpm.wb &amp; "]" &amp; _xlpm.ws &amp;"!" &amp; _xlpm.range            )       )              )</definedName>
    <definedName name="S_SelectSkip" comment="arr = array, r = remainder, n = n_loop  " localSheetId="0">_xlfn.LAMBDA(_xlpm.arr,_xlpm.r,_xlpm.n,     S_SelectSkipVB(_xlpm.arr,_xlpm.r,_xlpm.n))</definedName>
    <definedName name="S_SelectSkip" comment="arr = array, r = remainder, n = n_loop  ">_xlfn.LAMBDA(_xlpm.arr,_xlpm.r,_xlpm.n,     S_SelectSkipVB(_xlpm.arr,_xlpm.r,_xlpm.n))</definedName>
    <definedName name="S_UnDiaCritic" comment="No dependency" localSheetId="0">_xlfn.LAMBDA(_xlpm.ch, S_UnDiaCriticVB(_xlpm.ch))</definedName>
    <definedName name="S_UnDiaCritic" comment="No dependency">_xlfn.LAMBDA(_xlpm.ch, S_UnDiaCriticVB(_xlpm.ch))</definedName>
    <definedName name="Sp_SortUnique">_xlfn.LAMBDA(_xlpm.x, _xlfn._xlws.SORT(_xlfn.UNIQUE(_xlpm.x)))</definedName>
    <definedName name="St_AddQuote">_xlfn.LAMBDA(_xlpm.text,_xlop.quote_type,IF(_xlfn.ISOMITTED(_xlpm.quote_type), """" &amp; _xlpm.text &amp; """", IF(_xlpm.quote_type = 1, "'" &amp; _xlpm.text &amp; "'", IF(_xlpm.quote_type = 2, """" &amp; _xlpm.text &amp; """", "Invalid quote_type"))))</definedName>
    <definedName name="St_ContainText_f">_xlfn.LAMBDA(_xlpm.text,_xlpm.pattern,_xlop.case_sensitive,_xlfn.LET(_xlpm.escaped_pattern, IF((_xlpm.pattern = "?") + (_xlpm.pattern = "*"), "~" &amp; _xlpm.pattern, _xlpm.pattern), _xlpm.case_sensitive, IF(_xlfn.ISOMITTED(_xlpm.case_sensitive), FALSE, _xlpm.case_sensitive), _xlpm.result, IF(_xlpm.case_sensitive, ISNUMBER(FIND(_xlpm.escaped_pattern, _xlpm.text)), ISNUMBER(SEARCH(_xlpm.escaped_pattern, _xlpm.text))), _xlpm.result))</definedName>
    <definedName name="St_CountWords" comment="count how many words in the given text provided that words are seprated by spaces. It would not work for Thai or Chinese. _x000a_Many spaces case is also covered.">_xlfn.LAMBDA(_xlpm.text,_xlfn.LET(_xlpm.TrimmedText, TRIM(_xlpm.text), _xlpm.NoSpaceLength, LEN(SUBSTITUTE(_xlpm.TrimmedText, " ", "")), _xlpm.TrimmedLength, LEN(_xlpm.TrimmedText), IF(_xlpm.TrimmedLength = 0, 0, _xlpm.TrimmedLength - _xlpm.NoSpaceLength + 1)))</definedName>
    <definedName name="St_EndWithλH1">_xlfn.LAMBDA(_xlpm.text,_xlpm.end_with,OR(SUMPRODUCT(--(RIGHT(_xlpm.text, LEN(_xlpm.end_with)) = _xlpm.end_with)) &gt; 0))</definedName>
    <definedName name="St_MegaReplace" comment="From Leila, once I figure more powerful, I will merge this function to that function._x000a_I change it so that before, after can input the whole list now. But the algorithm is still wrong. I still work the same. I just changed it to grab only the start of the ">_xlfn.LAMBDA(_xlpm.text,_xlpm.before,_xlpm.after,_xlfn.LET(_xlpm.text, _xlpm.text, _xlpm.before, INDEX(_xlpm.before, 1, 1), _xlpm.after, INDEX(_xlpm.after, 1, 1), IF(_xlpm.before = "", _xlpm.text, St_MegaReplace(SUBSTITUTE(_xlpm.text, _xlpm.before, _xlpm.after), OFFSET(_xlpm.before, 1, 0), OFFSET(_xlpm.after, 1, 0)))))</definedName>
    <definedName name="St_RemoveNum">_xlfn.LAMBDA(_xlpm.text, SUBSTITUTE(SUBSTITUTE(SUBSTITUTE(SUBSTITUTE(SUBSTITUTE(SUBSTITUTE(SUBSTITUTE(SUBSTITUTE(SUBSTITUTE(SUBSTITUTE(_xlpm.text,1,""),2,""),3,""),4,""),5,""),6,""),7,""),8,""),9,""),0,""))</definedName>
    <definedName name="St_ReplaceAll" comment="replace all elements in before with after(after only 1 string) (This is temp function, I will merge with the main function once I figure out)">_xlfn.LAMBDA(_xlpm.text,_xlpm.before,_xlpm.after,_xlfn.LET(_xlpm.text, _xlpm.text, _xlpm.before, INDEX(_xlpm.before, 1, 1), _xlpm.after, _xlpm.after, IF(_xlpm.before = "", _xlpm.text, St_MegaReplace(SUBSTITUTE(_xlpm.text, _xlpm.before, _xlpm.after), OFFSET(_xlpm.before, 1, 0), _xlpm.after))))</definedName>
    <definedName name="St_StartWithλH1" comment="only work for 1 string text:_x000a_but can have multiple start_with_x000a_*Need more upgrade">_xlfn.LAMBDA(_xlpm.text,_xlpm.start_with,OR(SUMPRODUCT(--(LEFT(_xlpm.text, LEN(_xlpm.start_with)) = _xlpm.start_with)) &gt; 0))</definedName>
    <definedName name="St_TextBetween" comment="Good for now.Still need to handdle if input only after or before. ">_xlfn.LAMBDA(_xlpm.text,_xlpm.after,_xlpm.before,IFERROR(_xlfn.TEXTAFTER(_xlfn.TEXTBEFORE(_xlpm.text, _xlpm.before), _xlpm.after), _xlpm.text))</definedName>
    <definedName name="St_UnDiaCritic" comment="No dependency">_xlfn.LAMBDA(_xlpm.ch, St_UnDiaCriticVB(_xlpm.ch))</definedName>
    <definedName name="St_UnLeft">_xlfn.LAMBDA(_xlpm.text,_xlpm.n,   MID(_xlpm.text,_xlpm.n,LEN(_xlpm.text)-_xlpm.n+1))</definedName>
    <definedName name="St_Unright">_xlfn.LAMBDA(_xlpm.text,_xlpm.n,   MID(_xlpm.text,1,LEN(_xlpm.text) - _xlpm.n ))</definedName>
    <definedName name="tableList">#REF!</definedName>
    <definedName name="test_func">_xlfn.LAMBDA(_xlpm.text,_xlop.add_right,_xlfn.LET(_xlpm.text, _xlpm.text, _xlpm.add_right, IF(_xlfn.ISOMITTED(_xlpm.add_right), "default value", _xlpm.add_right), _xlpm.text &amp; " " &amp; _xlpm.add_right))</definedName>
    <definedName name="test_val">10</definedName>
    <definedName name="W_FindBeta">_xlfn.LAMBDA(_xlpm.level,_xlpm.feature,_xlpm.ws_name,_xlop.earnix_name,_xlop.emblem_name,_xlop.feature_row,_xlop.start_level_row,_xlfn.LET( _xlpm.level,                _xlpm.level, _xlpm.feature,            _xlpm.feature, _xlpm.ws_name,        _xlpm.ws_name, _xlpm.earnix_name,    _xlpm.earnix_name, _xlpm.emblem_name, _xlpm.emblem_name, _xlpm.feature_row,     IF(_xlfn.ISOMITTED(_xlpm.feature_row), 7, _xlpm.feature_row), _xlpm.start_level_row, IF(_xlfn.ISOMITTED(_xlpm.start_level_row), 8, _xlpm.start_level_row), _xlpm.feature_f, IF(  _xlfn.ISOMITTED(_xlpm.earnix_name), _xlpm.feature,  _xlfn.XLOOKUP(_xlpm.feature,_xlpm.earnix_name,_xlpm.emblem_name)), _xlpm.feature_list, INDIRECT(CONCATENATE(_xlpm.ws_name,"!$"&amp; _xlpm.feature_row &amp;":$"&amp;_xlpm.feature_row )), _xlpm.index_level,  MATCH(_xlpm.feature_f,_xlpm.feature_list,0),  _xlpm.adr_level_from,  ADDRESS(_xlpm.start_level_row,_xlpm.index_level,1,1 ), _xlpm.adr_level_to,  ADDRESS(400,_xlpm.index_level,1,1 ),  _xlpm.adr_beta_from,  ADDRESS(_xlpm.start_level_row,_xlpm.index_level+1,1,1), _xlpm.adr_beta_to,  ADDRESS(400,_xlpm.index_level+1,1,1),  _xlpm.level_rng,  INDIRECT(CONCATENATE(_xlpm.ws_name, "!", _xlpm.adr_level_from, ":", _xlpm.adr_level_to)), _xlpm.beta_rng,  INDIRECT(CONCATENATE(_xlpm.ws_name,"!",_xlpm.adr_beta_from, ":", _xlpm.adr_beta_to )),  IFERROR(      _xlfn.XLOOKUP(_xlpm.level,  _xlpm.level_rng,_xlpm.beta_rng),      _xlfn.XLOOKUP(TEXT(_xlpm.level,0),  _xlpm.level_rng,_xlpm.beta_rng) )  ))</definedName>
    <definedName name="W_InteractionName">_xlfn.LAMBDA(_xlpm.feature1,_xlpm.feature2,  TRIM(_xlfn.TEXTBEFORE(_xlpm.feature1,",")) &amp; " * "  &amp; TRIM(_xlfn.TEXTBEFORE(_xlpm.feature2,",")))</definedName>
    <definedName name="Wb_ThisWBName">_xlfn.LAMBDA([0]!St_TextBetween(CELL("filename",#REF!),  "[",  "]"))</definedName>
    <definedName name="Ws_ThisWSName">_xlfn.LAMBDA(_xlfn.TEXTAFTER(CELL("filename",#REF!),"]"))</definedName>
    <definedName name="X_AllSame">_xlfn.LAMBDA(_xlpm.array,_xlop.title,_xlop.vertical,_xlop.case_sensitive,                   _xlfn.LET( _xlpm.array,_xlpm.array, _xlpm.vertical, IF(_xlfn.ISOMITTED(_xlpm.vertical), TRUE, FALSE), _xlpm.case_sensitive, IF(_xlfn.ISOMITTED(_xlpm.case_sensitive), FALSE, TRUE),  _xlpm.first_row, _xlfn.TAKE(_xlpm.array,1), _xlpm.boolean_filter, _xlfn.BYCOL(_xlpm.array,_xlfn.LAMBDA(_xlpm.col,A_AllSame(_xlpm.col))),  IF(_xlfn.ISOMITTED(_xlpm.title),       _xlfn._xlws.FILTER(_xlpm.first_row,_xlpm.boolean_filter),       _xlfn.VSTACK(             _xlfn._xlws.FILTER(_xlpm.title,_xlpm.boolean_filter),             _xlfn._xlws.FILTER(_xlpm.first_row,_xlpm.boolean_filter)                 )      )                        )  )</definedName>
    <definedName name="X_ClosestValue" comment="finds the closest value to a given target in a list of values. It has an optional parameter to choose the lower value when distances are equal. By default, if two values are equally close, it returns the lower one; this behavior can be changed to return t">_xlfn.LAMBDA(_xlpm.value,_xlpm.value_list,_xlop.equal_as_lower_val,_xlfn.LET(_xlpm.differences, ABS(_xlpm.value_list - _xlpm.value), _xlpm.min_difference, MIN(_xlpm.differences), _xlpm.candidates, _xlfn._xlws.FILTER(_xlpm.value_list, _xlpm.differences = _xlpm.min_difference), _xlpm.equal_as_lower_val, IF(_xlfn.ISOMITTED(_xlpm.equal_as_lower_val), TRUE, _xlpm.equal_as_lower_val), IF(_xlpm.equal_as_lower_val, MIN(_xlpm.candidates), MAX(_xlpm.candidates))))</definedName>
    <definedName name="X_FindColumn">_xlfn.LAMBDA(_xlpm.lookup_value,_xlpm.lookup_array, St_RemoveNum( SUBSTITUTE(   CELL("address", _xlfn.XLOOKUP(_xlpm.lookup_value,_xlpm.lookup_array,_xlpm.lookup_array)), "$","")   ) )</definedName>
    <definedName name="X_Match">_xlfn.LAMBDA(_xlpm.lookup_value,_xlpm.lookup_array,_xlop.match_type,    X_MatchVB(_xlpm.lookup_value, _xlpm.lookup_array, _xlpm.match_type))</definedName>
    <definedName name="X_num_lookup">_xlfn.LAMBDA(_xlpm.level,_xlpm.group,_xlpm.num_sheet,_xlop.group_name,_xlop.lookup_name,_xlfn.LET(_xlpm.level, _xlpm.level, _xlpm.group, _xlpm.group, _xlpm.num_sheet, _xlpm.num_sheet, _xlpm.group_name, _xlpm.group_name, _xlpm.lookup_name, _xlpm.lookup_name, X_num_lookupVB(_xlpm.level, _xlpm.group, _xlpm.num_sheet, _xlpm.group_name, _xlpm.lookup_name)))</definedName>
    <definedName name="X_Xlookup">_xlfn.LAMBDA(_xlpm.lookup_value,_xlpm.lookup_array,_xlpm.return_array, IFERROR(X_XlookupH1(_xlpm.lookup_value, _xlpm.lookup_array, _xlpm.return_array), IFERROR(X_XlookupH1(TEXT(_xlpm.lookup_value, "0"), _xlpm.lookup_array, _xlpm.return_array), X_XlookupH1(VALUE(_xlpm.lookup_value), _xlpm.lookup_array, _xlpm.return_array))))</definedName>
    <definedName name="X_XLookup2Dλ">_xlfn.LAMBDA(_xlpm.table,_xlpm.my_row,_xlpm.my_col,_xlfn.XLOOKUP(_xlpm.my_row,INDEX(_xlpm.table,,1),_xlfn.XLOOKUP(_xlpm.my_col,INDEX(_xlpm.table,1,),INDEX(_xlpm.table,,))))</definedName>
    <definedName name="X_XLookup2Dλ2">_xlfn.LAMBDA(_xlpm.my_row,_xlpm.my_col,_xlpm.row_label,_xlpm.col_label,_xlpm.value_table, _xlfn.LET(_xlpm.row_index, MATCH(_xlpm.my_row,_xlpm.row_label,0), _xlpm.col_index, MATCH(_xlpm.my_col,_xlpm.col_label,0), _xlpm.ans, INDEX(_xlpm.value_table,_xlpm.row_index,_xlpm.col_index), _xlpm.ans) )</definedName>
    <definedName name="X_XlookupH1">_xlfn.LAMBDA(_xlpm.lookup_value,_xlpm.lookup_array,_xlpm.return_array, _xlfn._xlws.FILTER(_xlpm.return_array, _xlpm.lookup_array = _xlpm.lookup_value))</definedName>
    <definedName name="Xlookup2Tab">_xlfn.LAMBDA(_xlpm.look_val,_xlpm.table1,_xlpm.return1,_xlpm.table2,_xlpm.return2, _xlfn.XLOOKUP(_xlpm.look_val,_xlpm.table1,_xlpm.return1,   _xlfn.XLOOKUP(_xlpm.look_val,_xlpm.table2,_xlpm.return2)) )</definedName>
  </definedNames>
  <calcPr calcId="191029"/>
  <extLst>
    <ext xmlns:x14="http://schemas.microsoft.com/office/spreadsheetml/2009/9/main" uri="{8193D73E-4604-4355-AFF4-8A2333D13BE4}">
      <x14:definedNames>
        <x14:definedName name="D_Rank">
          <x14:argumentDescriptions count="4">
            <x14:argumentDescription index="0">element at which we want to find rank</x14:argumentDescription>
            <x14:argumentDescription index="1">the list of elements</x14:argumentDescription>
            <x14:argumentDescription index="2">the values list that is used for ranking</x14:argumentDescription>
            <x14:argumentDescription index="3">0 or omitted is rank from high to low,  1 the rank will be from low to high</x14:argumentDescription>
          </x14:argumentDescriptions>
        </x14:definedName>
        <x14:definedName name="Sp_SelectSkipVB">
          <x14:argumentDescriptions count="3">
            <x14:argumentDescription index="0">array of items</x14:argumentDescription>
            <x14:argumentDescription index="1" xml:space="preserve"> is the remander selected r must be less than n</x14:argumentDescription>
            <x14:argumentDescription index="2" xml:space="preserve"> is the # of repeated cycles</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75" l="1"/>
  <c r="G7" i="75"/>
  <c r="G8" i="75"/>
  <c r="G9" i="75"/>
  <c r="G10" i="75"/>
  <c r="G11" i="75"/>
  <c r="G12" i="75"/>
  <c r="G13" i="75"/>
  <c r="G14" i="75"/>
  <c r="G15" i="75"/>
  <c r="G16" i="75"/>
  <c r="G17" i="75"/>
  <c r="G18" i="75"/>
  <c r="G19" i="75"/>
  <c r="G20" i="75"/>
  <c r="G21" i="75"/>
  <c r="G22" i="75"/>
  <c r="G23" i="75"/>
  <c r="G24" i="75"/>
  <c r="G25" i="75"/>
  <c r="G26" i="75"/>
  <c r="G27" i="75"/>
  <c r="G28" i="75"/>
  <c r="G29" i="75"/>
  <c r="G30" i="75"/>
  <c r="G31" i="75"/>
  <c r="G32" i="75"/>
  <c r="G33" i="75"/>
  <c r="G34" i="75"/>
  <c r="G35" i="75"/>
  <c r="G36" i="75"/>
  <c r="G37" i="75"/>
  <c r="G38" i="75"/>
  <c r="G39" i="75"/>
  <c r="G40" i="75"/>
  <c r="G41" i="75"/>
  <c r="G42" i="75"/>
  <c r="G43" i="75"/>
  <c r="G44" i="75"/>
  <c r="G45" i="75"/>
  <c r="G46" i="75"/>
  <c r="G47" i="75"/>
  <c r="G48" i="75"/>
  <c r="G49" i="75"/>
  <c r="G50" i="75"/>
  <c r="G51" i="75"/>
  <c r="G52" i="75"/>
  <c r="G53" i="75"/>
  <c r="G54" i="75"/>
  <c r="G55" i="75"/>
  <c r="G56" i="75"/>
  <c r="G57" i="75"/>
  <c r="G58" i="75"/>
  <c r="G59" i="75"/>
  <c r="G60" i="75"/>
  <c r="G61" i="75"/>
  <c r="G62" i="75"/>
  <c r="G63" i="75"/>
  <c r="G64" i="75"/>
  <c r="G65" i="75"/>
  <c r="G66" i="75"/>
  <c r="G67" i="75"/>
  <c r="G68" i="75"/>
  <c r="G69" i="75"/>
  <c r="G70" i="75"/>
  <c r="G71" i="75"/>
  <c r="G72" i="75"/>
  <c r="G73" i="75"/>
  <c r="G74" i="75"/>
  <c r="G75" i="75"/>
  <c r="G76" i="75"/>
  <c r="G77" i="75"/>
  <c r="G78" i="75"/>
  <c r="G79" i="75"/>
  <c r="G80" i="75"/>
  <c r="G81" i="75"/>
  <c r="G82" i="75"/>
  <c r="G83" i="75"/>
  <c r="G84" i="75"/>
  <c r="G85" i="75"/>
  <c r="G86" i="75"/>
  <c r="G87" i="75"/>
  <c r="G88" i="75"/>
  <c r="G89" i="75"/>
  <c r="G90" i="75"/>
  <c r="G91" i="75"/>
  <c r="G92" i="75"/>
  <c r="G93" i="75"/>
  <c r="G94" i="75"/>
  <c r="G95" i="75"/>
  <c r="G96" i="75"/>
  <c r="G97" i="75"/>
  <c r="G98" i="75"/>
  <c r="G99" i="75"/>
  <c r="G100" i="75"/>
  <c r="G101" i="75"/>
  <c r="G102" i="75"/>
  <c r="G103" i="75"/>
  <c r="G104" i="75"/>
  <c r="G105" i="75"/>
  <c r="G106" i="75"/>
  <c r="G107" i="75"/>
  <c r="G108" i="75"/>
  <c r="G109" i="75"/>
  <c r="G110" i="75"/>
  <c r="G111" i="75"/>
  <c r="G112" i="75"/>
  <c r="G113" i="75"/>
  <c r="G114" i="75"/>
  <c r="G115" i="75"/>
  <c r="G116" i="75"/>
  <c r="G117" i="75"/>
  <c r="G118" i="75"/>
  <c r="G119" i="75"/>
  <c r="G120" i="75"/>
  <c r="G121" i="75"/>
  <c r="G122" i="75"/>
  <c r="G123" i="75"/>
  <c r="G124" i="75"/>
  <c r="G125" i="75"/>
  <c r="G126" i="75"/>
  <c r="G127" i="75"/>
  <c r="G128" i="75"/>
  <c r="G129" i="75"/>
  <c r="G130" i="75"/>
  <c r="G131" i="75"/>
  <c r="G132" i="75"/>
  <c r="G133" i="75"/>
  <c r="G134" i="75"/>
  <c r="G135" i="75"/>
  <c r="G136" i="75"/>
  <c r="G137" i="75"/>
  <c r="G138" i="75"/>
  <c r="G139" i="75"/>
  <c r="G140" i="75"/>
  <c r="G141" i="75"/>
  <c r="G142" i="75"/>
  <c r="G143" i="75"/>
  <c r="G144" i="75"/>
  <c r="G145" i="75"/>
  <c r="G146" i="75"/>
  <c r="G147" i="75"/>
  <c r="G148" i="75"/>
  <c r="G149" i="75"/>
  <c r="G150" i="75"/>
  <c r="G151" i="75"/>
  <c r="G152" i="75"/>
  <c r="G153" i="75"/>
  <c r="G154" i="75"/>
  <c r="G155" i="75"/>
  <c r="G156" i="75"/>
  <c r="G157" i="75"/>
  <c r="G158" i="75"/>
  <c r="G159" i="75"/>
  <c r="G160" i="75"/>
  <c r="G161" i="75"/>
  <c r="G162" i="75"/>
  <c r="G163" i="75"/>
  <c r="G164" i="75"/>
  <c r="G165" i="75"/>
  <c r="G166" i="75"/>
  <c r="G167" i="75"/>
  <c r="G168" i="75"/>
  <c r="G169" i="75"/>
  <c r="G170" i="75"/>
  <c r="G171" i="75"/>
  <c r="G172" i="75"/>
  <c r="G173" i="75"/>
  <c r="G174" i="75"/>
  <c r="G175" i="75"/>
  <c r="G176" i="75"/>
  <c r="G177" i="75"/>
  <c r="G178" i="75"/>
  <c r="G179" i="75"/>
  <c r="G180" i="75"/>
  <c r="G181" i="75"/>
  <c r="G182" i="75"/>
  <c r="G183" i="75"/>
  <c r="G184" i="75"/>
  <c r="G185" i="75"/>
  <c r="G186" i="75"/>
  <c r="G187" i="75"/>
  <c r="G188" i="75"/>
  <c r="G189" i="75"/>
  <c r="G190" i="75"/>
  <c r="G191" i="75"/>
  <c r="G192" i="75"/>
  <c r="G193" i="75"/>
  <c r="G194" i="75"/>
  <c r="G195" i="75"/>
  <c r="G196" i="75"/>
  <c r="G197" i="75"/>
  <c r="G198" i="75"/>
  <c r="G199" i="75"/>
  <c r="G200" i="75"/>
  <c r="G201" i="75"/>
  <c r="G202" i="75"/>
  <c r="G203" i="75"/>
  <c r="G204" i="75"/>
  <c r="G205" i="75"/>
  <c r="G206" i="75"/>
  <c r="G207" i="75"/>
  <c r="G208" i="75"/>
  <c r="G209" i="75"/>
  <c r="G210" i="75"/>
  <c r="G211" i="75"/>
  <c r="G212" i="75"/>
  <c r="G213" i="75"/>
  <c r="G214" i="75"/>
  <c r="G215" i="75"/>
  <c r="G216" i="75"/>
  <c r="G217" i="75"/>
  <c r="G218" i="75"/>
  <c r="G219" i="75"/>
  <c r="G220" i="75"/>
  <c r="G221" i="75"/>
  <c r="G222" i="75"/>
  <c r="G223" i="75"/>
  <c r="G224" i="75"/>
  <c r="G225" i="75"/>
  <c r="G226" i="75"/>
  <c r="G227" i="75"/>
  <c r="G228" i="75"/>
  <c r="G229" i="75"/>
  <c r="G230" i="75"/>
  <c r="G231" i="75"/>
  <c r="G232" i="75"/>
  <c r="G233" i="75"/>
  <c r="G234" i="75"/>
  <c r="G235" i="75"/>
  <c r="G236" i="75"/>
  <c r="G237" i="75"/>
  <c r="G238" i="75"/>
  <c r="G239" i="75"/>
  <c r="G240" i="75"/>
  <c r="G241" i="75"/>
  <c r="G242" i="75"/>
  <c r="G243" i="75"/>
  <c r="G244" i="75"/>
  <c r="G245" i="75"/>
  <c r="G246" i="75"/>
  <c r="G247" i="75"/>
  <c r="G248" i="75"/>
  <c r="G249" i="75"/>
  <c r="G250" i="75"/>
  <c r="G251" i="75"/>
  <c r="G252" i="75"/>
  <c r="G253" i="75"/>
  <c r="G254" i="75"/>
  <c r="G255" i="75"/>
  <c r="G256" i="75"/>
  <c r="G257" i="75"/>
  <c r="G258" i="75"/>
  <c r="G259" i="75"/>
  <c r="G260" i="75"/>
  <c r="G261" i="75"/>
  <c r="G262" i="75"/>
  <c r="G263" i="75"/>
  <c r="G264" i="75"/>
  <c r="G265" i="75"/>
  <c r="G266" i="75"/>
  <c r="G267" i="75"/>
  <c r="G268" i="75"/>
  <c r="G269" i="75"/>
  <c r="G270" i="75"/>
  <c r="G271" i="75"/>
  <c r="G272" i="75"/>
  <c r="G273" i="75"/>
  <c r="G274" i="75"/>
  <c r="G275" i="75"/>
  <c r="G276" i="75"/>
  <c r="G277" i="75"/>
  <c r="G278" i="75"/>
  <c r="G279" i="75"/>
  <c r="G280" i="75"/>
  <c r="G281" i="75"/>
  <c r="G282" i="75"/>
  <c r="G283" i="75"/>
  <c r="G284" i="75"/>
  <c r="G285" i="75"/>
  <c r="G286" i="75"/>
  <c r="G287" i="75"/>
  <c r="G288" i="75"/>
  <c r="G289" i="75"/>
  <c r="G290" i="75"/>
  <c r="G291" i="75"/>
  <c r="G292" i="75"/>
  <c r="G293" i="75"/>
  <c r="G294" i="75"/>
  <c r="G295" i="75"/>
  <c r="G296" i="75"/>
  <c r="G297" i="75"/>
  <c r="G298" i="75"/>
  <c r="G299" i="75"/>
  <c r="G300" i="75"/>
  <c r="G301" i="75"/>
  <c r="G302" i="75"/>
  <c r="G303" i="75"/>
  <c r="G304" i="75"/>
  <c r="G305" i="75"/>
  <c r="G306" i="75"/>
  <c r="G307" i="75"/>
  <c r="G308" i="75"/>
  <c r="G309" i="75"/>
  <c r="G310" i="75"/>
  <c r="G311" i="75"/>
  <c r="G312" i="75"/>
  <c r="G313" i="75"/>
  <c r="G314" i="75"/>
  <c r="G315" i="75"/>
  <c r="G316" i="75"/>
  <c r="G317" i="75"/>
  <c r="G318" i="75"/>
  <c r="G319" i="75"/>
  <c r="G320" i="75"/>
  <c r="G321" i="75"/>
  <c r="G322" i="75"/>
  <c r="G323" i="75"/>
  <c r="G324" i="75"/>
  <c r="G325" i="75"/>
  <c r="G326" i="75"/>
  <c r="G327" i="75"/>
  <c r="G328" i="75"/>
  <c r="G329" i="75"/>
  <c r="G330" i="75"/>
  <c r="G331" i="75"/>
  <c r="G332" i="75"/>
  <c r="G333" i="75"/>
  <c r="G334" i="75"/>
  <c r="G335" i="75"/>
  <c r="G336" i="75"/>
  <c r="G337" i="75"/>
  <c r="G338" i="75"/>
  <c r="G339" i="75"/>
  <c r="G340" i="75"/>
  <c r="G341" i="75"/>
  <c r="G342" i="75"/>
  <c r="G343" i="75"/>
  <c r="G344" i="75"/>
  <c r="G345" i="75"/>
  <c r="G346" i="75"/>
  <c r="G347" i="75"/>
  <c r="G348" i="75"/>
  <c r="G349" i="75"/>
  <c r="G350" i="75"/>
  <c r="G5" i="75"/>
  <c r="E6" i="75"/>
  <c r="E7" i="75"/>
  <c r="E8" i="75"/>
  <c r="E9" i="75"/>
  <c r="E10" i="75"/>
  <c r="E11" i="75"/>
  <c r="E12" i="75"/>
  <c r="E13" i="75"/>
  <c r="E14" i="75"/>
  <c r="E15" i="75"/>
  <c r="E16" i="75"/>
  <c r="E17" i="75"/>
  <c r="E18" i="75"/>
  <c r="E19" i="75"/>
  <c r="E20" i="75"/>
  <c r="E21" i="75"/>
  <c r="E22" i="75"/>
  <c r="E23" i="75"/>
  <c r="E24" i="75"/>
  <c r="E25" i="75"/>
  <c r="E26" i="75"/>
  <c r="E27" i="75"/>
  <c r="E28" i="75"/>
  <c r="E29" i="75"/>
  <c r="E30" i="75"/>
  <c r="E31" i="75"/>
  <c r="E32" i="75"/>
  <c r="E33" i="75"/>
  <c r="E34" i="75"/>
  <c r="E35" i="75"/>
  <c r="E36" i="75"/>
  <c r="E37" i="75"/>
  <c r="E38" i="75"/>
  <c r="E39" i="75"/>
  <c r="E40" i="75"/>
  <c r="E41" i="75"/>
  <c r="E42" i="75"/>
  <c r="E43" i="75"/>
  <c r="E44" i="75"/>
  <c r="E45" i="75"/>
  <c r="E46" i="75"/>
  <c r="E47" i="75"/>
  <c r="E48" i="75"/>
  <c r="E49" i="75"/>
  <c r="E50" i="75"/>
  <c r="E51" i="75"/>
  <c r="E52" i="75"/>
  <c r="E53" i="75"/>
  <c r="E54" i="75"/>
  <c r="E55" i="75"/>
  <c r="E56" i="75"/>
  <c r="E57" i="75"/>
  <c r="E58" i="75"/>
  <c r="E59" i="75"/>
  <c r="E60" i="75"/>
  <c r="E61" i="75"/>
  <c r="E62" i="75"/>
  <c r="E63" i="75"/>
  <c r="E64" i="75"/>
  <c r="E65" i="75"/>
  <c r="E66" i="75"/>
  <c r="E67" i="75"/>
  <c r="E68" i="75"/>
  <c r="E69" i="75"/>
  <c r="E70" i="75"/>
  <c r="E71" i="75"/>
  <c r="E72" i="75"/>
  <c r="E73" i="75"/>
  <c r="E74" i="75"/>
  <c r="E75" i="75"/>
  <c r="E76" i="75"/>
  <c r="E77" i="75"/>
  <c r="E78" i="75"/>
  <c r="E79" i="75"/>
  <c r="E80" i="75"/>
  <c r="E81" i="75"/>
  <c r="E82" i="75"/>
  <c r="E83" i="75"/>
  <c r="E84" i="75"/>
  <c r="E85" i="75"/>
  <c r="E86" i="75"/>
  <c r="E87" i="75"/>
  <c r="E88" i="75"/>
  <c r="E89" i="75"/>
  <c r="E90" i="75"/>
  <c r="E91" i="75"/>
  <c r="E92" i="75"/>
  <c r="E93" i="75"/>
  <c r="E94" i="75"/>
  <c r="E95" i="75"/>
  <c r="E96" i="75"/>
  <c r="E97" i="75"/>
  <c r="E98" i="75"/>
  <c r="E99" i="75"/>
  <c r="E100" i="75"/>
  <c r="E101" i="75"/>
  <c r="E102" i="75"/>
  <c r="E103" i="75"/>
  <c r="E104" i="75"/>
  <c r="E105" i="75"/>
  <c r="E106" i="75"/>
  <c r="E107" i="75"/>
  <c r="E108" i="75"/>
  <c r="E109" i="75"/>
  <c r="E110" i="75"/>
  <c r="E111" i="75"/>
  <c r="E112" i="75"/>
  <c r="E113" i="75"/>
  <c r="E114" i="75"/>
  <c r="E115" i="75"/>
  <c r="E116" i="75"/>
  <c r="E117" i="75"/>
  <c r="E118" i="75"/>
  <c r="E119" i="75"/>
  <c r="E120" i="75"/>
  <c r="E121" i="75"/>
  <c r="E122" i="75"/>
  <c r="E123" i="75"/>
  <c r="E124" i="75"/>
  <c r="E125" i="75"/>
  <c r="E126" i="75"/>
  <c r="E127" i="75"/>
  <c r="E128" i="75"/>
  <c r="E129" i="75"/>
  <c r="E130" i="75"/>
  <c r="E131" i="75"/>
  <c r="E132" i="75"/>
  <c r="E133" i="75"/>
  <c r="E134" i="75"/>
  <c r="E135" i="75"/>
  <c r="E136" i="75"/>
  <c r="E137" i="75"/>
  <c r="E138" i="75"/>
  <c r="E139" i="75"/>
  <c r="E140" i="75"/>
  <c r="E141" i="75"/>
  <c r="E142" i="75"/>
  <c r="E143" i="75"/>
  <c r="E144" i="75"/>
  <c r="E145" i="75"/>
  <c r="E146" i="75"/>
  <c r="E147" i="75"/>
  <c r="E148" i="75"/>
  <c r="E149" i="75"/>
  <c r="E150" i="75"/>
  <c r="E151" i="75"/>
  <c r="E152" i="75"/>
  <c r="E153" i="75"/>
  <c r="E154" i="75"/>
  <c r="E155" i="75"/>
  <c r="E156" i="75"/>
  <c r="E157" i="75"/>
  <c r="E158" i="75"/>
  <c r="E159" i="75"/>
  <c r="E160" i="75"/>
  <c r="E161" i="75"/>
  <c r="E162" i="75"/>
  <c r="E163" i="75"/>
  <c r="E164" i="75"/>
  <c r="E165" i="75"/>
  <c r="E166" i="75"/>
  <c r="E167" i="75"/>
  <c r="E168" i="75"/>
  <c r="E169" i="75"/>
  <c r="E170" i="75"/>
  <c r="E171" i="75"/>
  <c r="E172" i="75"/>
  <c r="E173" i="75"/>
  <c r="E174" i="75"/>
  <c r="E175" i="75"/>
  <c r="E176" i="75"/>
  <c r="E177" i="75"/>
  <c r="E178" i="75"/>
  <c r="E179" i="75"/>
  <c r="E180" i="75"/>
  <c r="E181" i="75"/>
  <c r="E182" i="75"/>
  <c r="E183" i="75"/>
  <c r="E184" i="75"/>
  <c r="E185" i="75"/>
  <c r="E186" i="75"/>
  <c r="E187" i="75"/>
  <c r="E188" i="75"/>
  <c r="E189" i="75"/>
  <c r="E190" i="75"/>
  <c r="E191" i="75"/>
  <c r="E192" i="75"/>
  <c r="E193" i="75"/>
  <c r="E194" i="75"/>
  <c r="E195" i="75"/>
  <c r="E196" i="75"/>
  <c r="E197" i="75"/>
  <c r="E198" i="75"/>
  <c r="E199" i="75"/>
  <c r="E200" i="75"/>
  <c r="E201" i="75"/>
  <c r="E202" i="75"/>
  <c r="E203" i="75"/>
  <c r="E204" i="75"/>
  <c r="E205" i="75"/>
  <c r="E206" i="75"/>
  <c r="E207" i="75"/>
  <c r="E208" i="75"/>
  <c r="E209" i="75"/>
  <c r="E210" i="75"/>
  <c r="E211" i="75"/>
  <c r="E212" i="75"/>
  <c r="E213" i="75"/>
  <c r="E214" i="75"/>
  <c r="E215" i="75"/>
  <c r="E216" i="75"/>
  <c r="E217" i="75"/>
  <c r="E218" i="75"/>
  <c r="E219" i="75"/>
  <c r="E220" i="75"/>
  <c r="E221" i="75"/>
  <c r="E222" i="75"/>
  <c r="E223" i="75"/>
  <c r="E224" i="75"/>
  <c r="E225" i="75"/>
  <c r="E226" i="75"/>
  <c r="E227" i="75"/>
  <c r="E228" i="75"/>
  <c r="E229" i="75"/>
  <c r="E230" i="75"/>
  <c r="E231" i="75"/>
  <c r="E232" i="75"/>
  <c r="E233" i="75"/>
  <c r="E234" i="75"/>
  <c r="E235" i="75"/>
  <c r="E236" i="75"/>
  <c r="E237" i="75"/>
  <c r="E238" i="75"/>
  <c r="E239" i="75"/>
  <c r="E240" i="75"/>
  <c r="E241" i="75"/>
  <c r="E242" i="75"/>
  <c r="E243" i="75"/>
  <c r="E244" i="75"/>
  <c r="E245" i="75"/>
  <c r="E246" i="75"/>
  <c r="E247" i="75"/>
  <c r="E248" i="75"/>
  <c r="E249" i="75"/>
  <c r="E250" i="75"/>
  <c r="E251" i="75"/>
  <c r="E252" i="75"/>
  <c r="E253" i="75"/>
  <c r="E254" i="75"/>
  <c r="E255" i="75"/>
  <c r="E256" i="75"/>
  <c r="E257" i="75"/>
  <c r="E258" i="75"/>
  <c r="E259" i="75"/>
  <c r="E260" i="75"/>
  <c r="E261" i="75"/>
  <c r="E262" i="75"/>
  <c r="E263" i="75"/>
  <c r="E264" i="75"/>
  <c r="E265" i="75"/>
  <c r="E266" i="75"/>
  <c r="E267" i="75"/>
  <c r="E268" i="75"/>
  <c r="E269" i="75"/>
  <c r="E270" i="75"/>
  <c r="E271" i="75"/>
  <c r="E272" i="75"/>
  <c r="E273" i="75"/>
  <c r="E274" i="75"/>
  <c r="E275" i="75"/>
  <c r="E276" i="75"/>
  <c r="E277" i="75"/>
  <c r="E278" i="75"/>
  <c r="E279" i="75"/>
  <c r="E280" i="75"/>
  <c r="E281" i="75"/>
  <c r="E282" i="75"/>
  <c r="E283" i="75"/>
  <c r="E284" i="75"/>
  <c r="E285" i="75"/>
  <c r="E286" i="75"/>
  <c r="E287" i="75"/>
  <c r="E288" i="75"/>
  <c r="E289" i="75"/>
  <c r="E290" i="75"/>
  <c r="E291" i="75"/>
  <c r="E292" i="75"/>
  <c r="E293" i="75"/>
  <c r="E294" i="75"/>
  <c r="E295" i="75"/>
  <c r="E296" i="75"/>
  <c r="E297" i="75"/>
  <c r="E298" i="75"/>
  <c r="E299" i="75"/>
  <c r="E300" i="75"/>
  <c r="E301" i="75"/>
  <c r="E302" i="75"/>
  <c r="E303" i="75"/>
  <c r="E304" i="75"/>
  <c r="E305" i="75"/>
  <c r="E306" i="75"/>
  <c r="E307" i="75"/>
  <c r="E308" i="75"/>
  <c r="E309" i="75"/>
  <c r="E310" i="75"/>
  <c r="E311" i="75"/>
  <c r="E312" i="75"/>
  <c r="E313" i="75"/>
  <c r="E314" i="75"/>
  <c r="E315" i="75"/>
  <c r="E316" i="75"/>
  <c r="E317" i="75"/>
  <c r="E318" i="75"/>
  <c r="E319" i="75"/>
  <c r="E320" i="75"/>
  <c r="E321" i="75"/>
  <c r="E322" i="75"/>
  <c r="E323" i="75"/>
  <c r="E324" i="75"/>
  <c r="E325" i="75"/>
  <c r="E326" i="75"/>
  <c r="E327" i="75"/>
  <c r="E328" i="75"/>
  <c r="E329" i="75"/>
  <c r="E330" i="75"/>
  <c r="E331" i="75"/>
  <c r="E332" i="75"/>
  <c r="E333" i="75"/>
  <c r="E334" i="75"/>
  <c r="E335" i="75"/>
  <c r="E336" i="75"/>
  <c r="E337" i="75"/>
  <c r="E338" i="75"/>
  <c r="E339" i="75"/>
  <c r="E340" i="75"/>
  <c r="E341" i="75"/>
  <c r="E342" i="75"/>
  <c r="E343" i="75"/>
  <c r="E344" i="75"/>
  <c r="E345" i="75"/>
  <c r="E346" i="75"/>
  <c r="E347" i="75"/>
  <c r="E348" i="75"/>
  <c r="E349" i="75"/>
  <c r="E350" i="75"/>
  <c r="E5" i="75"/>
  <c r="E71" i="74"/>
  <c r="E12" i="74"/>
  <c r="E4" i="74"/>
  <c r="E5" i="74"/>
  <c r="E6" i="74"/>
  <c r="E7" i="74"/>
  <c r="E8" i="74"/>
  <c r="E9" i="74"/>
  <c r="E10" i="74"/>
  <c r="E11" i="74"/>
  <c r="E13" i="74"/>
  <c r="E14" i="74"/>
  <c r="E15" i="74"/>
  <c r="E16" i="74"/>
  <c r="E17" i="74"/>
  <c r="E18" i="74"/>
  <c r="E19" i="74"/>
  <c r="E20" i="74"/>
  <c r="E21" i="74"/>
  <c r="E22" i="74"/>
  <c r="E23" i="74"/>
  <c r="E24" i="74"/>
  <c r="E25" i="74"/>
  <c r="E26" i="74"/>
  <c r="E27" i="74"/>
  <c r="E28" i="74"/>
  <c r="E29" i="74"/>
  <c r="E30" i="74"/>
  <c r="E31" i="74"/>
  <c r="E32" i="74"/>
  <c r="E33" i="74"/>
  <c r="E34" i="74"/>
  <c r="E35" i="74"/>
  <c r="E36" i="74"/>
  <c r="E37" i="74"/>
  <c r="E38" i="74"/>
  <c r="E39" i="74"/>
  <c r="E40" i="74"/>
  <c r="E41" i="74"/>
  <c r="E42" i="74"/>
  <c r="E43" i="74"/>
  <c r="E44" i="74"/>
  <c r="E45" i="74"/>
  <c r="E46" i="74"/>
  <c r="E47" i="74"/>
  <c r="E48" i="74"/>
  <c r="E49" i="74"/>
  <c r="E50" i="74"/>
  <c r="E51" i="74"/>
  <c r="E52" i="74"/>
  <c r="E53" i="74"/>
  <c r="E54" i="74"/>
  <c r="E55" i="74"/>
  <c r="E56" i="74"/>
  <c r="E57" i="74"/>
  <c r="E58" i="74"/>
  <c r="E59" i="74"/>
  <c r="E60" i="74"/>
  <c r="E61" i="74"/>
  <c r="E62" i="74"/>
  <c r="E63" i="74"/>
  <c r="E64" i="74"/>
  <c r="E65" i="74"/>
  <c r="E66" i="74"/>
  <c r="E67" i="74"/>
  <c r="E68" i="74"/>
  <c r="E69" i="74"/>
  <c r="E70" i="74"/>
  <c r="E72" i="74"/>
  <c r="E73" i="74"/>
  <c r="E74" i="74"/>
  <c r="E75" i="74"/>
  <c r="E76" i="74"/>
  <c r="E77" i="74"/>
  <c r="E78" i="74"/>
  <c r="E79" i="74"/>
  <c r="E80" i="74"/>
  <c r="E81" i="74"/>
  <c r="E82" i="74"/>
  <c r="E83" i="74"/>
  <c r="E84" i="74"/>
  <c r="E85" i="74"/>
  <c r="E86" i="74"/>
  <c r="E87" i="74"/>
  <c r="E88" i="74"/>
  <c r="E89" i="74"/>
  <c r="E90" i="74"/>
  <c r="E91" i="74"/>
  <c r="E92" i="74"/>
  <c r="E93" i="74"/>
  <c r="E94" i="74"/>
  <c r="E95" i="74"/>
  <c r="E96" i="74"/>
  <c r="E97" i="74"/>
  <c r="E98" i="74"/>
  <c r="E99" i="74"/>
  <c r="E100" i="74"/>
  <c r="E101" i="74"/>
  <c r="E102" i="74"/>
  <c r="E103" i="74"/>
  <c r="E104" i="74"/>
  <c r="E105" i="74"/>
  <c r="E106" i="74"/>
  <c r="E107" i="74"/>
  <c r="E108" i="74"/>
  <c r="E109" i="74"/>
  <c r="E110" i="74"/>
  <c r="E111" i="74"/>
  <c r="E112" i="74"/>
  <c r="E113" i="74"/>
  <c r="E114" i="74"/>
  <c r="E115" i="74"/>
  <c r="E116" i="74"/>
  <c r="E117" i="74"/>
  <c r="E118" i="74"/>
  <c r="E119" i="74"/>
  <c r="E120" i="74"/>
  <c r="E121" i="74"/>
  <c r="E122" i="74"/>
  <c r="E123" i="74"/>
  <c r="E124" i="74"/>
  <c r="E125" i="74"/>
  <c r="E126" i="74"/>
  <c r="E127" i="74"/>
  <c r="E128" i="74"/>
  <c r="E129" i="74"/>
  <c r="E130" i="74"/>
  <c r="E131" i="74"/>
  <c r="E132" i="74"/>
  <c r="E133" i="74"/>
  <c r="E134" i="74"/>
  <c r="E135" i="74"/>
  <c r="E136" i="74"/>
  <c r="E137" i="74"/>
  <c r="E138" i="74"/>
  <c r="E139" i="74"/>
  <c r="E140" i="74"/>
  <c r="E141" i="74"/>
  <c r="E142" i="74"/>
  <c r="E143" i="74"/>
  <c r="E144" i="74"/>
  <c r="E145" i="74"/>
  <c r="E146" i="74"/>
  <c r="E147" i="74"/>
  <c r="E148" i="74"/>
  <c r="E149" i="74"/>
  <c r="E150" i="74"/>
  <c r="E151" i="74"/>
  <c r="E152" i="74"/>
  <c r="E153" i="74"/>
  <c r="E154" i="74"/>
  <c r="E155" i="74"/>
  <c r="E156" i="74"/>
  <c r="E157" i="74"/>
  <c r="E158" i="74"/>
  <c r="E159" i="74"/>
  <c r="E160" i="74"/>
  <c r="E161" i="74"/>
  <c r="E162" i="74"/>
  <c r="E163" i="74"/>
  <c r="E164" i="74"/>
  <c r="E165" i="74"/>
  <c r="E166" i="74"/>
  <c r="E167" i="74"/>
  <c r="E168" i="74"/>
  <c r="E169" i="74"/>
  <c r="E170" i="74"/>
  <c r="E171" i="74"/>
  <c r="E172" i="74"/>
  <c r="E173" i="74"/>
  <c r="E174" i="74"/>
  <c r="E175" i="74"/>
  <c r="E176" i="74"/>
  <c r="E177" i="74"/>
  <c r="E178" i="74"/>
  <c r="E179" i="74"/>
  <c r="E180" i="74"/>
  <c r="E181" i="74"/>
  <c r="E182" i="74"/>
  <c r="E183" i="74"/>
  <c r="E184" i="74"/>
  <c r="E185" i="74"/>
  <c r="E186" i="74"/>
  <c r="E187" i="74"/>
  <c r="E188" i="74"/>
  <c r="E189" i="74"/>
  <c r="E190" i="74"/>
  <c r="E191" i="74"/>
  <c r="E192" i="74"/>
  <c r="E193" i="74"/>
  <c r="E194" i="74"/>
  <c r="E195" i="74"/>
  <c r="E196" i="74"/>
  <c r="E197" i="74"/>
  <c r="E198" i="74"/>
  <c r="E199" i="74"/>
  <c r="E200" i="74"/>
  <c r="E201" i="74"/>
  <c r="E202" i="74"/>
  <c r="E203" i="74"/>
  <c r="E204" i="74"/>
  <c r="E205" i="74"/>
  <c r="E206" i="74"/>
  <c r="E207" i="74"/>
  <c r="E208" i="74"/>
  <c r="E209" i="74"/>
  <c r="E210" i="74"/>
  <c r="E211" i="74"/>
  <c r="E212" i="74"/>
  <c r="E213" i="74"/>
  <c r="E214" i="74"/>
  <c r="E215" i="74"/>
  <c r="E216" i="74"/>
  <c r="E217" i="74"/>
  <c r="E218" i="74"/>
  <c r="E219" i="74"/>
  <c r="E220" i="74"/>
  <c r="E221" i="74"/>
  <c r="E222" i="74"/>
  <c r="E223" i="74"/>
  <c r="E224" i="74"/>
  <c r="E225" i="74"/>
  <c r="E226" i="74"/>
  <c r="E227" i="74"/>
  <c r="E228" i="74"/>
  <c r="E229" i="74"/>
  <c r="E230" i="74"/>
  <c r="E231" i="74"/>
  <c r="E232" i="74"/>
  <c r="E233" i="74"/>
  <c r="E234" i="74"/>
  <c r="E235" i="74"/>
  <c r="E236" i="74"/>
  <c r="E237" i="74"/>
  <c r="E238" i="74"/>
  <c r="E239" i="74"/>
  <c r="E240" i="74"/>
  <c r="E241" i="74"/>
  <c r="E242" i="74"/>
  <c r="E243" i="74"/>
  <c r="E244" i="74"/>
  <c r="E245" i="74"/>
  <c r="E246" i="74"/>
  <c r="E247" i="74"/>
  <c r="E248" i="74"/>
  <c r="E249" i="74"/>
  <c r="E250" i="74"/>
  <c r="E251" i="74"/>
  <c r="E252" i="74"/>
  <c r="E253" i="74"/>
  <c r="E254" i="74"/>
  <c r="E255" i="74"/>
  <c r="E256" i="74"/>
  <c r="E257" i="74"/>
  <c r="E258" i="74"/>
  <c r="E259" i="74"/>
  <c r="E260" i="74"/>
  <c r="E261" i="74"/>
  <c r="E262" i="74"/>
  <c r="E263" i="74"/>
  <c r="E264" i="74"/>
  <c r="E265" i="74"/>
  <c r="E266" i="74"/>
  <c r="E267" i="74"/>
  <c r="E268" i="74"/>
  <c r="E269" i="74"/>
  <c r="E270" i="74"/>
  <c r="E271" i="74"/>
  <c r="E272" i="74"/>
  <c r="E273" i="74"/>
  <c r="E274" i="74"/>
  <c r="E275" i="74"/>
  <c r="E276" i="74"/>
  <c r="E277" i="74"/>
  <c r="E278" i="74"/>
  <c r="E279" i="74"/>
  <c r="E280" i="74"/>
  <c r="E281" i="74"/>
  <c r="E282" i="74"/>
  <c r="E283" i="74"/>
  <c r="E284" i="74"/>
  <c r="E285" i="74"/>
  <c r="E286" i="74"/>
  <c r="E287" i="74"/>
  <c r="E288" i="74"/>
  <c r="E289" i="74"/>
  <c r="E290" i="74"/>
  <c r="E291" i="74"/>
  <c r="E292" i="74"/>
  <c r="E293" i="74"/>
  <c r="E294" i="74"/>
  <c r="E295" i="74"/>
  <c r="E296" i="74"/>
  <c r="E297" i="74"/>
  <c r="E298" i="74"/>
  <c r="E299" i="74"/>
  <c r="E300" i="74"/>
  <c r="E301" i="74"/>
  <c r="E302" i="74"/>
  <c r="E303" i="74"/>
  <c r="E304" i="74"/>
  <c r="E305" i="74"/>
  <c r="E306" i="74"/>
  <c r="E307" i="74"/>
  <c r="E308" i="74"/>
  <c r="E309" i="74"/>
  <c r="E310" i="74"/>
  <c r="E311" i="74"/>
  <c r="E312" i="74"/>
  <c r="E313" i="74"/>
  <c r="E314" i="74"/>
  <c r="E315" i="74"/>
  <c r="E316" i="74"/>
  <c r="E317" i="74"/>
  <c r="E318" i="74"/>
  <c r="E319" i="74"/>
  <c r="E320" i="74"/>
  <c r="E321" i="74"/>
  <c r="E322" i="74"/>
  <c r="E323" i="74"/>
  <c r="E324" i="74"/>
  <c r="E325" i="74"/>
  <c r="E326" i="74"/>
  <c r="E327" i="74"/>
  <c r="E328" i="74"/>
  <c r="E329" i="74"/>
  <c r="E330" i="74"/>
  <c r="E331" i="74"/>
  <c r="E332" i="74"/>
  <c r="E333" i="74"/>
  <c r="E334" i="74"/>
  <c r="E335" i="74"/>
  <c r="E336" i="74"/>
  <c r="E337" i="74"/>
  <c r="E338" i="74"/>
  <c r="E339" i="74"/>
  <c r="E340" i="74"/>
  <c r="E341" i="74"/>
  <c r="E342" i="74"/>
  <c r="E343" i="74"/>
  <c r="E344" i="74"/>
  <c r="E345" i="74"/>
  <c r="E346" i="74"/>
  <c r="E347" i="74"/>
  <c r="E348" i="74"/>
  <c r="E349" i="74"/>
  <c r="E350" i="74"/>
  <c r="E351" i="74"/>
  <c r="E352" i="74"/>
  <c r="E353" i="74"/>
  <c r="E354" i="74"/>
  <c r="E355" i="74"/>
  <c r="E356" i="74"/>
  <c r="E357" i="74"/>
  <c r="E358" i="74"/>
  <c r="E359" i="74"/>
  <c r="E360" i="74"/>
  <c r="E361" i="74"/>
  <c r="E362" i="74"/>
  <c r="E363" i="74"/>
  <c r="E364" i="74"/>
  <c r="E365" i="74"/>
  <c r="E366" i="74"/>
  <c r="E367" i="74"/>
  <c r="E368" i="74"/>
  <c r="E369" i="74"/>
  <c r="E370" i="74"/>
  <c r="E371" i="74"/>
  <c r="E372" i="74"/>
  <c r="E373" i="74"/>
  <c r="E374" i="74"/>
  <c r="E375" i="74"/>
  <c r="E376" i="74"/>
  <c r="E377" i="74"/>
  <c r="E378" i="74"/>
  <c r="E379" i="74"/>
  <c r="E380" i="74"/>
  <c r="E381" i="74"/>
  <c r="E382" i="74"/>
  <c r="E383" i="74"/>
  <c r="E384" i="74"/>
  <c r="E385" i="74"/>
  <c r="E386" i="74"/>
  <c r="E387" i="74"/>
  <c r="E388" i="74"/>
  <c r="E389" i="74"/>
  <c r="E390" i="74"/>
  <c r="E391" i="74"/>
  <c r="E392" i="74"/>
  <c r="E393" i="74"/>
  <c r="E394" i="74"/>
  <c r="E395" i="74"/>
  <c r="E396" i="74"/>
  <c r="E397" i="74"/>
  <c r="E398" i="74"/>
  <c r="E399" i="74"/>
  <c r="E400" i="74"/>
  <c r="E401" i="74"/>
  <c r="E402" i="74"/>
  <c r="E403" i="74"/>
  <c r="E404" i="74"/>
  <c r="E405" i="74"/>
  <c r="E406" i="74"/>
  <c r="E407" i="74"/>
  <c r="E408" i="74"/>
  <c r="E409" i="74"/>
  <c r="E410" i="74"/>
  <c r="E411" i="74"/>
  <c r="E412" i="74"/>
  <c r="E413" i="74"/>
  <c r="E414" i="74"/>
  <c r="E415" i="74"/>
  <c r="E416" i="74"/>
  <c r="E417" i="74"/>
  <c r="E418" i="74"/>
  <c r="E419" i="74"/>
  <c r="E420" i="74"/>
  <c r="E3" i="74"/>
  <c r="G281" i="72" a="1"/>
  <c r="G281" i="72" s="1"/>
  <c r="G280" i="72" a="1"/>
  <c r="G280" i="72" s="1"/>
  <c r="G279" i="72" a="1"/>
  <c r="G279" i="72" s="1"/>
  <c r="G278" i="72" a="1"/>
  <c r="G278" i="72" s="1"/>
  <c r="G277" i="72" a="1"/>
  <c r="G277" i="72" s="1"/>
  <c r="G276" i="72" a="1"/>
  <c r="G276" i="72" s="1"/>
  <c r="G275" i="72" a="1"/>
  <c r="G275" i="72" s="1"/>
  <c r="G274" i="72" a="1"/>
  <c r="G274" i="72" s="1"/>
  <c r="G273" i="72" a="1"/>
  <c r="G273" i="72" s="1"/>
  <c r="G272" i="72" a="1"/>
  <c r="G272" i="72" s="1"/>
  <c r="G271" i="72" a="1"/>
  <c r="G271" i="72" s="1"/>
  <c r="G270" i="72" a="1"/>
  <c r="G270" i="72" s="1"/>
  <c r="G269" i="72" a="1"/>
  <c r="G269" i="72" s="1"/>
  <c r="G268" i="72" a="1"/>
  <c r="G268" i="72" s="1"/>
  <c r="G267" i="72" a="1"/>
  <c r="G267" i="72" s="1"/>
  <c r="G266" i="72" a="1"/>
  <c r="G266" i="72" s="1"/>
  <c r="G265" i="72" a="1"/>
  <c r="G265" i="72" s="1"/>
  <c r="G264" i="72" a="1"/>
  <c r="G264" i="72" s="1"/>
  <c r="G263" i="72" a="1"/>
  <c r="G263" i="72" s="1"/>
  <c r="G262" i="72" a="1"/>
  <c r="G262" i="72" s="1"/>
  <c r="G261" i="72" a="1"/>
  <c r="G261" i="72" s="1"/>
  <c r="G260" i="72" a="1"/>
  <c r="G260" i="72" s="1"/>
  <c r="G259" i="72" a="1"/>
  <c r="G259" i="72" s="1"/>
  <c r="G258" i="72" a="1"/>
  <c r="G258" i="72" s="1"/>
  <c r="G257" i="72" a="1"/>
  <c r="G257" i="72" s="1"/>
  <c r="G256" i="72" a="1"/>
  <c r="G256" i="72" s="1"/>
  <c r="G255" i="72" a="1"/>
  <c r="G255" i="72" s="1"/>
  <c r="G254" i="72" a="1"/>
  <c r="G254" i="72" s="1"/>
  <c r="G253" i="72" a="1"/>
  <c r="G253" i="72" s="1"/>
  <c r="G252" i="72" a="1"/>
  <c r="G252" i="72" s="1"/>
  <c r="G251" i="72" a="1"/>
  <c r="G251" i="72" s="1"/>
  <c r="G250" i="72" a="1"/>
  <c r="G250" i="72" s="1"/>
  <c r="G249" i="72" a="1"/>
  <c r="G249" i="72" s="1"/>
  <c r="G248" i="72" a="1"/>
  <c r="G248" i="72" s="1"/>
  <c r="G247" i="72" a="1"/>
  <c r="G247" i="72" s="1"/>
  <c r="G246" i="72" a="1"/>
  <c r="G246" i="72" s="1"/>
  <c r="G245" i="72" a="1"/>
  <c r="G245" i="72" s="1"/>
  <c r="G244" i="72" a="1"/>
  <c r="G244" i="72" s="1"/>
  <c r="G243" i="72" a="1"/>
  <c r="G243" i="72" s="1"/>
  <c r="G242" i="72" a="1"/>
  <c r="G242" i="72" s="1"/>
  <c r="G241" i="72" a="1"/>
  <c r="G241" i="72" s="1"/>
  <c r="G240" i="72" a="1"/>
  <c r="G240" i="72" s="1"/>
  <c r="G239" i="72" a="1"/>
  <c r="G239" i="72" s="1"/>
  <c r="G238" i="72" a="1"/>
  <c r="G238" i="72" s="1"/>
  <c r="G237" i="72" a="1"/>
  <c r="G237" i="72" s="1"/>
  <c r="G236" i="72" a="1"/>
  <c r="G236" i="72" s="1"/>
  <c r="G235" i="72" a="1"/>
  <c r="G235" i="72" s="1"/>
  <c r="G234" i="72" a="1"/>
  <c r="G234" i="72" s="1"/>
  <c r="G233" i="72" a="1"/>
  <c r="G233" i="72" s="1"/>
  <c r="G232" i="72" a="1"/>
  <c r="G232" i="72" s="1"/>
  <c r="G231" i="72" a="1"/>
  <c r="G231" i="72" s="1"/>
  <c r="G230" i="72" a="1"/>
  <c r="G230" i="72" s="1"/>
  <c r="G229" i="72" a="1"/>
  <c r="G229" i="72" s="1"/>
  <c r="G228" i="72" a="1"/>
  <c r="G228" i="72" s="1"/>
  <c r="G227" i="72" a="1"/>
  <c r="G227" i="72" s="1"/>
  <c r="G226" i="72" a="1"/>
  <c r="G226" i="72" s="1"/>
  <c r="G225" i="72" a="1"/>
  <c r="G225" i="72" s="1"/>
  <c r="G224" i="72" a="1"/>
  <c r="G224" i="72" s="1"/>
  <c r="G223" i="72" a="1"/>
  <c r="G223" i="72" s="1"/>
  <c r="G222" i="72" a="1"/>
  <c r="G222" i="72" s="1"/>
  <c r="G221" i="72" a="1"/>
  <c r="G221" i="72" s="1"/>
  <c r="G220" i="72" a="1"/>
  <c r="G220" i="72" s="1"/>
  <c r="G219" i="72" a="1"/>
  <c r="G219" i="72" s="1"/>
  <c r="G218" i="72" a="1"/>
  <c r="G218" i="72" s="1"/>
  <c r="G217" i="72" a="1"/>
  <c r="G217" i="72" s="1"/>
  <c r="G216" i="72" a="1"/>
  <c r="G216" i="72" s="1"/>
  <c r="G215" i="72" a="1"/>
  <c r="G215" i="72" s="1"/>
  <c r="G214" i="72" a="1"/>
  <c r="G214" i="72" s="1"/>
  <c r="G213" i="72" a="1"/>
  <c r="G213" i="72" s="1"/>
  <c r="G212" i="72" a="1"/>
  <c r="G212" i="72" s="1"/>
  <c r="G211" i="72" a="1"/>
  <c r="G211" i="72" s="1"/>
  <c r="G210" i="72" a="1"/>
  <c r="G210" i="72" s="1"/>
  <c r="G209" i="72" a="1"/>
  <c r="G209" i="72" s="1"/>
  <c r="G208" i="72" a="1"/>
  <c r="G208" i="72" s="1"/>
  <c r="G207" i="72" a="1"/>
  <c r="G207" i="72" s="1"/>
  <c r="G206" i="72" a="1"/>
  <c r="G206" i="72" s="1"/>
  <c r="G205" i="72" a="1"/>
  <c r="G205" i="72" s="1"/>
  <c r="G204" i="72" a="1"/>
  <c r="G204" i="72" s="1"/>
  <c r="G203" i="72" a="1"/>
  <c r="G203" i="72" s="1"/>
  <c r="G202" i="72" a="1"/>
  <c r="G202" i="72" s="1"/>
  <c r="G201" i="72" a="1"/>
  <c r="G201" i="72" s="1"/>
  <c r="G200" i="72" a="1"/>
  <c r="G200" i="72" s="1"/>
  <c r="G199" i="72" a="1"/>
  <c r="G199" i="72" s="1"/>
  <c r="G198" i="72" a="1"/>
  <c r="G198" i="72" s="1"/>
  <c r="G197" i="72" a="1"/>
  <c r="G197" i="72" s="1"/>
  <c r="G196" i="72" a="1"/>
  <c r="G196" i="72" s="1"/>
  <c r="G195" i="72" a="1"/>
  <c r="G195" i="72" s="1"/>
  <c r="G194" i="72" a="1"/>
  <c r="G194" i="72" s="1"/>
  <c r="G193" i="72" a="1"/>
  <c r="G193" i="72" s="1"/>
  <c r="G192" i="72" a="1"/>
  <c r="G192" i="72" s="1"/>
  <c r="G191" i="72" a="1"/>
  <c r="G191" i="72" s="1"/>
  <c r="G190" i="72" a="1"/>
  <c r="G190" i="72" s="1"/>
  <c r="G189" i="72" a="1"/>
  <c r="G189" i="72" s="1"/>
  <c r="G188" i="72" a="1"/>
  <c r="G188" i="72" s="1"/>
  <c r="G187" i="72" a="1"/>
  <c r="G187" i="72" s="1"/>
  <c r="G186" i="72" a="1"/>
  <c r="G186" i="72" s="1"/>
  <c r="G185" i="72" a="1"/>
  <c r="G185" i="72" s="1"/>
  <c r="G184" i="72" a="1"/>
  <c r="G184" i="72" s="1"/>
  <c r="G183" i="72" a="1"/>
  <c r="G183" i="72" s="1"/>
  <c r="G182" i="72" a="1"/>
  <c r="G182" i="72" s="1"/>
  <c r="G181" i="72" a="1"/>
  <c r="G181" i="72" s="1"/>
  <c r="G180" i="72" a="1"/>
  <c r="G180" i="72" s="1"/>
  <c r="G179" i="72" a="1"/>
  <c r="G179" i="72" s="1"/>
  <c r="G178" i="72" a="1"/>
  <c r="G178" i="72" s="1"/>
  <c r="G177" i="72" a="1"/>
  <c r="G177" i="72" s="1"/>
  <c r="G176" i="72" a="1"/>
  <c r="G176" i="72" s="1"/>
  <c r="G175" i="72" a="1"/>
  <c r="G175" i="72" s="1"/>
  <c r="G174" i="72" a="1"/>
  <c r="G174" i="72" s="1"/>
  <c r="G173" i="72" a="1"/>
  <c r="G173" i="72" s="1"/>
  <c r="G172" i="72" a="1"/>
  <c r="G172" i="72" s="1"/>
  <c r="G171" i="72" a="1"/>
  <c r="G171" i="72" s="1"/>
  <c r="G170" i="72" a="1"/>
  <c r="G170" i="72" s="1"/>
  <c r="G169" i="72" a="1"/>
  <c r="G169" i="72" s="1"/>
  <c r="G168" i="72" a="1"/>
  <c r="G168" i="72" s="1"/>
  <c r="G167" i="72" a="1"/>
  <c r="G167" i="72" s="1"/>
  <c r="G166" i="72" a="1"/>
  <c r="G166" i="72" s="1"/>
  <c r="G165" i="72" a="1"/>
  <c r="G165" i="72" s="1"/>
  <c r="G164" i="72" a="1"/>
  <c r="G164" i="72" s="1"/>
  <c r="G163" i="72" a="1"/>
  <c r="G163" i="72" s="1"/>
  <c r="G162" i="72" a="1"/>
  <c r="G162" i="72" s="1"/>
  <c r="G161" i="72" a="1"/>
  <c r="G161" i="72" s="1"/>
  <c r="G160" i="72" a="1"/>
  <c r="G160" i="72" s="1"/>
  <c r="G159" i="72" a="1"/>
  <c r="G159" i="72" s="1"/>
  <c r="G158" i="72" a="1"/>
  <c r="G158" i="72" s="1"/>
  <c r="G157" i="72" a="1"/>
  <c r="G157" i="72" s="1"/>
  <c r="G156" i="72" a="1"/>
  <c r="G156" i="72" s="1"/>
  <c r="G155" i="72" a="1"/>
  <c r="G155" i="72" s="1"/>
  <c r="G154" i="72" a="1"/>
  <c r="G154" i="72" s="1"/>
  <c r="G153" i="72" a="1"/>
  <c r="G153" i="72" s="1"/>
  <c r="G152" i="72" a="1"/>
  <c r="G152" i="72" s="1"/>
  <c r="G151" i="72" a="1"/>
  <c r="G151" i="72" s="1"/>
  <c r="G150" i="72" a="1"/>
  <c r="G150" i="72" s="1"/>
  <c r="G149" i="72" a="1"/>
  <c r="G149" i="72" s="1"/>
  <c r="G148" i="72" a="1"/>
  <c r="G148" i="72" s="1"/>
  <c r="G147" i="72" a="1"/>
  <c r="G147" i="72" s="1"/>
  <c r="G146" i="72" a="1"/>
  <c r="G146" i="72" s="1"/>
  <c r="G145" i="72" a="1"/>
  <c r="G145" i="72" s="1"/>
  <c r="G144" i="72" a="1"/>
  <c r="G144" i="72" s="1"/>
  <c r="G143" i="72" a="1"/>
  <c r="G143" i="72" s="1"/>
  <c r="G142" i="72" a="1"/>
  <c r="G142" i="72" s="1"/>
  <c r="G141" i="72" a="1"/>
  <c r="G141" i="72" s="1"/>
  <c r="G140" i="72" a="1"/>
  <c r="G140" i="72" s="1"/>
  <c r="G139" i="72" a="1"/>
  <c r="G139" i="72" s="1"/>
  <c r="G138" i="72" a="1"/>
  <c r="G138" i="72" s="1"/>
  <c r="G137" i="72" a="1"/>
  <c r="G137" i="72" s="1"/>
  <c r="G136" i="72" a="1"/>
  <c r="G136" i="72" s="1"/>
  <c r="G135" i="72" a="1"/>
  <c r="G135" i="72" s="1"/>
  <c r="G134" i="72" a="1"/>
  <c r="G134" i="72" s="1"/>
  <c r="G133" i="72" a="1"/>
  <c r="G133" i="72" s="1"/>
  <c r="G132" i="72" a="1"/>
  <c r="G132" i="72" s="1"/>
  <c r="G131" i="72" a="1"/>
  <c r="G131" i="72" s="1"/>
  <c r="G130" i="72" a="1"/>
  <c r="G130" i="72" s="1"/>
  <c r="G129" i="72" a="1"/>
  <c r="G129" i="72" s="1"/>
  <c r="G128" i="72" a="1"/>
  <c r="G128" i="72" s="1"/>
  <c r="G127" i="72" a="1"/>
  <c r="G127" i="72" s="1"/>
  <c r="G126" i="72" a="1"/>
  <c r="G126" i="72" s="1"/>
  <c r="G125" i="72" a="1"/>
  <c r="G125" i="72" s="1"/>
  <c r="G124" i="72" a="1"/>
  <c r="G124" i="72" s="1"/>
  <c r="G123" i="72" a="1"/>
  <c r="G123" i="72" s="1"/>
  <c r="G122" i="72" a="1"/>
  <c r="G122" i="72" s="1"/>
  <c r="G121" i="72" a="1"/>
  <c r="G121" i="72" s="1"/>
  <c r="G120" i="72" a="1"/>
  <c r="G120" i="72" s="1"/>
  <c r="G119" i="72" a="1"/>
  <c r="G119" i="72" s="1"/>
  <c r="G118" i="72" a="1"/>
  <c r="G118" i="72" s="1"/>
  <c r="G117" i="72" a="1"/>
  <c r="G117" i="72" s="1"/>
  <c r="G116" i="72" a="1"/>
  <c r="G116" i="72" s="1"/>
  <c r="G115" i="72" a="1"/>
  <c r="G115" i="72" s="1"/>
  <c r="G114" i="72" a="1"/>
  <c r="G114" i="72" s="1"/>
  <c r="G113" i="72" a="1"/>
  <c r="G113" i="72" s="1"/>
  <c r="G112" i="72" a="1"/>
  <c r="G112" i="72" s="1"/>
  <c r="G111" i="72" a="1"/>
  <c r="G111" i="72" s="1"/>
  <c r="G110" i="72" a="1"/>
  <c r="G110" i="72" s="1"/>
  <c r="G109" i="72" a="1"/>
  <c r="G109" i="72" s="1"/>
  <c r="G108" i="72" a="1"/>
  <c r="G108" i="72" s="1"/>
  <c r="G107" i="72" a="1"/>
  <c r="G107" i="72" s="1"/>
  <c r="G106" i="72" a="1"/>
  <c r="G106" i="72" s="1"/>
  <c r="G105" i="72" a="1"/>
  <c r="G105" i="72" s="1"/>
  <c r="G104" i="72" a="1"/>
  <c r="G104" i="72" s="1"/>
  <c r="G103" i="72" a="1"/>
  <c r="G103" i="72" s="1"/>
  <c r="G102" i="72" a="1"/>
  <c r="G102" i="72" s="1"/>
  <c r="G101" i="72" a="1"/>
  <c r="G101" i="72" s="1"/>
  <c r="G100" i="72" a="1"/>
  <c r="G100" i="72" s="1"/>
  <c r="G99" i="72" a="1"/>
  <c r="G99" i="72" s="1"/>
  <c r="G98" i="72" a="1"/>
  <c r="G98" i="72" s="1"/>
  <c r="G97" i="72" a="1"/>
  <c r="G97" i="72" s="1"/>
  <c r="G96" i="72" a="1"/>
  <c r="G96" i="72" s="1"/>
  <c r="G95" i="72" a="1"/>
  <c r="G95" i="72" s="1"/>
  <c r="G94" i="72" a="1"/>
  <c r="G94" i="72" s="1"/>
  <c r="G93" i="72" a="1"/>
  <c r="G93" i="72" s="1"/>
  <c r="G92" i="72" a="1"/>
  <c r="G92" i="72" s="1"/>
  <c r="G91" i="72" a="1"/>
  <c r="G91" i="72" s="1"/>
  <c r="G90" i="72" a="1"/>
  <c r="G90" i="72" s="1"/>
  <c r="G89" i="72" a="1"/>
  <c r="G89" i="72" s="1"/>
  <c r="G88" i="72" a="1"/>
  <c r="G88" i="72" s="1"/>
  <c r="G87" i="72" a="1"/>
  <c r="G87" i="72" s="1"/>
  <c r="G86" i="72" a="1"/>
  <c r="G86" i="72" s="1"/>
  <c r="G85" i="72" a="1"/>
  <c r="G85" i="72" s="1"/>
  <c r="G84" i="72" a="1"/>
  <c r="G84" i="72" s="1"/>
  <c r="G83" i="72" a="1"/>
  <c r="G83" i="72" s="1"/>
  <c r="G82" i="72" a="1"/>
  <c r="G82" i="72" s="1"/>
  <c r="G81" i="72" a="1"/>
  <c r="G81" i="72" s="1"/>
  <c r="G80" i="72" a="1"/>
  <c r="G80" i="72" s="1"/>
  <c r="G79" i="72" a="1"/>
  <c r="G79" i="72" s="1"/>
  <c r="G78" i="72" a="1"/>
  <c r="G78" i="72" s="1"/>
  <c r="G77" i="72" a="1"/>
  <c r="G77" i="72" s="1"/>
  <c r="G76" i="72" a="1"/>
  <c r="G76" i="72" s="1"/>
  <c r="G75" i="72" a="1"/>
  <c r="G75" i="72" s="1"/>
  <c r="G74" i="72" a="1"/>
  <c r="G74" i="72" s="1"/>
  <c r="G73" i="72" a="1"/>
  <c r="G73" i="72" s="1"/>
  <c r="G72" i="72" a="1"/>
  <c r="G72" i="72" s="1"/>
  <c r="G71" i="72" a="1"/>
  <c r="G71" i="72" s="1"/>
  <c r="G70" i="72" a="1"/>
  <c r="G70" i="72" s="1"/>
  <c r="G69" i="72" a="1"/>
  <c r="G69" i="72" s="1"/>
  <c r="G68" i="72" a="1"/>
  <c r="G68" i="72" s="1"/>
  <c r="G67" i="72" a="1"/>
  <c r="G67" i="72" s="1"/>
  <c r="G66" i="72" a="1"/>
  <c r="G66" i="72" s="1"/>
  <c r="G65" i="72" a="1"/>
  <c r="G65" i="72" s="1"/>
  <c r="G64" i="72" a="1"/>
  <c r="G64" i="72" s="1"/>
  <c r="G63" i="72" a="1"/>
  <c r="G63" i="72" s="1"/>
  <c r="G62" i="72" a="1"/>
  <c r="G62" i="72" s="1"/>
  <c r="G61" i="72" a="1"/>
  <c r="G61" i="72" s="1"/>
  <c r="G60" i="72" a="1"/>
  <c r="G60" i="72" s="1"/>
  <c r="G59" i="72" a="1"/>
  <c r="G59" i="72" s="1"/>
  <c r="G58" i="72" a="1"/>
  <c r="G58" i="72" s="1"/>
  <c r="G57" i="72" a="1"/>
  <c r="G57" i="72" s="1"/>
  <c r="G56" i="72" a="1"/>
  <c r="G56" i="72" s="1"/>
  <c r="G55" i="72" a="1"/>
  <c r="G55" i="72" s="1"/>
  <c r="G54" i="72" a="1"/>
  <c r="G54" i="72" s="1"/>
  <c r="G53" i="72" a="1"/>
  <c r="G53" i="72" s="1"/>
  <c r="G52" i="72" a="1"/>
  <c r="G52" i="72" s="1"/>
  <c r="G51" i="72" a="1"/>
  <c r="G51" i="72" s="1"/>
  <c r="G50" i="72" a="1"/>
  <c r="G50" i="72" s="1"/>
  <c r="G49" i="72" a="1"/>
  <c r="G49" i="72" s="1"/>
  <c r="G48" i="72" a="1"/>
  <c r="G48" i="72" s="1"/>
  <c r="G47" i="72" a="1"/>
  <c r="G47" i="72" s="1"/>
  <c r="G46" i="72" a="1"/>
  <c r="G46" i="72" s="1"/>
  <c r="G45" i="72" a="1"/>
  <c r="G45" i="72" s="1"/>
  <c r="G44" i="72" a="1"/>
  <c r="G44" i="72" s="1"/>
  <c r="G43" i="72" a="1"/>
  <c r="G43" i="72" s="1"/>
  <c r="G42" i="72" a="1"/>
  <c r="G42" i="72" s="1"/>
  <c r="G41" i="72" a="1"/>
  <c r="G41" i="72" s="1"/>
  <c r="G40" i="72" a="1"/>
  <c r="G40" i="72" s="1"/>
  <c r="G39" i="72" a="1"/>
  <c r="G39" i="72" s="1"/>
  <c r="G38" i="72" a="1"/>
  <c r="G38" i="72" s="1"/>
  <c r="G37" i="72" a="1"/>
  <c r="G37" i="72" s="1"/>
  <c r="G36" i="72" a="1"/>
  <c r="G36" i="72" s="1"/>
  <c r="G35" i="72" a="1"/>
  <c r="G35" i="72" s="1"/>
  <c r="G34" i="72" a="1"/>
  <c r="G34" i="72" s="1"/>
  <c r="G33" i="72" a="1"/>
  <c r="G33" i="72" s="1"/>
  <c r="G32" i="72" a="1"/>
  <c r="G32" i="72" s="1"/>
  <c r="G31" i="72" a="1"/>
  <c r="G31" i="72" s="1"/>
  <c r="G30" i="72" a="1"/>
  <c r="G30" i="72" s="1"/>
  <c r="G29" i="72" a="1"/>
  <c r="G29" i="72" s="1"/>
  <c r="G28" i="72" a="1"/>
  <c r="G28" i="72" s="1"/>
  <c r="G27" i="72" a="1"/>
  <c r="G27" i="72" s="1"/>
  <c r="G26" i="72" a="1"/>
  <c r="G26" i="72" s="1"/>
  <c r="G25" i="72" a="1"/>
  <c r="G25" i="72" s="1"/>
  <c r="G24" i="72" a="1"/>
  <c r="G24" i="72" s="1"/>
  <c r="G23" i="72" a="1"/>
  <c r="G23" i="72" s="1"/>
  <c r="G22" i="72" a="1"/>
  <c r="G22" i="72" s="1"/>
  <c r="G21" i="72" a="1"/>
  <c r="G21" i="72" s="1"/>
  <c r="G20" i="72" a="1"/>
  <c r="G20" i="72" s="1"/>
  <c r="G19" i="72" a="1"/>
  <c r="G19" i="72" s="1"/>
  <c r="G18" i="72" a="1"/>
  <c r="G18" i="72" s="1"/>
  <c r="G17" i="72" a="1"/>
  <c r="G17" i="72" s="1"/>
  <c r="G16" i="72" a="1"/>
  <c r="G16" i="72" s="1"/>
  <c r="G15" i="72" a="1"/>
  <c r="G15" i="72" s="1"/>
  <c r="G14" i="72" a="1"/>
  <c r="G14" i="72" s="1"/>
  <c r="G13" i="72" a="1"/>
  <c r="G13" i="72" s="1"/>
  <c r="G12" i="72" a="1"/>
  <c r="G12" i="72" s="1"/>
  <c r="G11" i="72" a="1"/>
  <c r="G11" i="72" s="1"/>
  <c r="G10" i="72" a="1"/>
  <c r="G10" i="72" s="1"/>
  <c r="G9" i="72" a="1"/>
  <c r="G9" i="72" s="1"/>
  <c r="G8" i="72" a="1"/>
  <c r="G8" i="72" s="1"/>
  <c r="G7" i="72" a="1"/>
  <c r="G7" i="72" s="1"/>
  <c r="G6" i="72" a="1"/>
  <c r="G6" i="72" s="1"/>
  <c r="G5" i="72" a="1"/>
  <c r="G5" i="72" s="1"/>
  <c r="G4" i="72" a="1"/>
  <c r="G4" i="72" s="1"/>
  <c r="G3" i="72" a="1"/>
  <c r="G3" i="72" s="1"/>
  <c r="A281" i="72" a="1"/>
  <c r="A281" i="72" s="1"/>
  <c r="A280" i="72" a="1"/>
  <c r="A280" i="72" s="1"/>
  <c r="A279" i="72" a="1"/>
  <c r="A279" i="72" s="1"/>
  <c r="A278" i="72" a="1"/>
  <c r="A278" i="72" s="1"/>
  <c r="A277" i="72" a="1"/>
  <c r="A277" i="72" s="1"/>
  <c r="A276" i="72" a="1"/>
  <c r="A276" i="72" s="1"/>
  <c r="A275" i="72" a="1"/>
  <c r="A275" i="72" s="1"/>
  <c r="A274" i="72" a="1"/>
  <c r="A274" i="72" s="1"/>
  <c r="A273" i="72" a="1"/>
  <c r="A273" i="72" s="1"/>
  <c r="A272" i="72" a="1"/>
  <c r="A272" i="72" s="1"/>
  <c r="A271" i="72" a="1"/>
  <c r="A271" i="72" s="1"/>
  <c r="A270" i="72" a="1"/>
  <c r="A270" i="72" s="1"/>
  <c r="A269" i="72" a="1"/>
  <c r="A269" i="72" s="1"/>
  <c r="A268" i="72" a="1"/>
  <c r="A268" i="72" s="1"/>
  <c r="A267" i="72" a="1"/>
  <c r="A267" i="72" s="1"/>
  <c r="A266" i="72" a="1"/>
  <c r="A266" i="72" s="1"/>
  <c r="A265" i="72" a="1"/>
  <c r="A265" i="72" s="1"/>
  <c r="A264" i="72" a="1"/>
  <c r="A264" i="72" s="1"/>
  <c r="A263" i="72" a="1"/>
  <c r="A263" i="72" s="1"/>
  <c r="A262" i="72" a="1"/>
  <c r="A262" i="72" s="1"/>
  <c r="A261" i="72" a="1"/>
  <c r="A261" i="72" s="1"/>
  <c r="A260" i="72" a="1"/>
  <c r="A260" i="72" s="1"/>
  <c r="A259" i="72" a="1"/>
  <c r="A259" i="72" s="1"/>
  <c r="A258" i="72" a="1"/>
  <c r="A258" i="72" s="1"/>
  <c r="A257" i="72" a="1"/>
  <c r="A257" i="72" s="1"/>
  <c r="A256" i="72" a="1"/>
  <c r="A256" i="72" s="1"/>
  <c r="A255" i="72" a="1"/>
  <c r="A255" i="72" s="1"/>
  <c r="A254" i="72" a="1"/>
  <c r="A254" i="72" s="1"/>
  <c r="A253" i="72" a="1"/>
  <c r="A253" i="72" s="1"/>
  <c r="A252" i="72" a="1"/>
  <c r="A252" i="72" s="1"/>
  <c r="A251" i="72" a="1"/>
  <c r="A251" i="72" s="1"/>
  <c r="A250" i="72" a="1"/>
  <c r="A250" i="72" s="1"/>
  <c r="A249" i="72" a="1"/>
  <c r="A249" i="72" s="1"/>
  <c r="A248" i="72" a="1"/>
  <c r="A248" i="72" s="1"/>
  <c r="A247" i="72" a="1"/>
  <c r="A247" i="72" s="1"/>
  <c r="A246" i="72" a="1"/>
  <c r="A246" i="72" s="1"/>
  <c r="A245" i="72" a="1"/>
  <c r="A245" i="72" s="1"/>
  <c r="A244" i="72" a="1"/>
  <c r="A244" i="72" s="1"/>
  <c r="A243" i="72" a="1"/>
  <c r="A243" i="72" s="1"/>
  <c r="A242" i="72" a="1"/>
  <c r="A242" i="72" s="1"/>
  <c r="A241" i="72" a="1"/>
  <c r="A241" i="72" s="1"/>
  <c r="A240" i="72" a="1"/>
  <c r="A240" i="72" s="1"/>
  <c r="A239" i="72" a="1"/>
  <c r="A239" i="72" s="1"/>
  <c r="A238" i="72" a="1"/>
  <c r="A238" i="72" s="1"/>
  <c r="A237" i="72" a="1"/>
  <c r="A237" i="72" s="1"/>
  <c r="A236" i="72" a="1"/>
  <c r="A236" i="72" s="1"/>
  <c r="A235" i="72" a="1"/>
  <c r="A235" i="72" s="1"/>
  <c r="A234" i="72" a="1"/>
  <c r="A234" i="72" s="1"/>
  <c r="A233" i="72" a="1"/>
  <c r="A233" i="72" s="1"/>
  <c r="A232" i="72" a="1"/>
  <c r="A232" i="72" s="1"/>
  <c r="A231" i="72" a="1"/>
  <c r="A231" i="72" s="1"/>
  <c r="A230" i="72" a="1"/>
  <c r="A230" i="72" s="1"/>
  <c r="A229" i="72" a="1"/>
  <c r="A229" i="72" s="1"/>
  <c r="A228" i="72" a="1"/>
  <c r="A228" i="72" s="1"/>
  <c r="A227" i="72" a="1"/>
  <c r="A227" i="72" s="1"/>
  <c r="A226" i="72" a="1"/>
  <c r="A226" i="72" s="1"/>
  <c r="A225" i="72" a="1"/>
  <c r="A225" i="72" s="1"/>
  <c r="A224" i="72" a="1"/>
  <c r="A224" i="72" s="1"/>
  <c r="A223" i="72" a="1"/>
  <c r="A223" i="72" s="1"/>
  <c r="A222" i="72" a="1"/>
  <c r="A222" i="72" s="1"/>
  <c r="A221" i="72" a="1"/>
  <c r="A221" i="72" s="1"/>
  <c r="A220" i="72" a="1"/>
  <c r="A220" i="72" s="1"/>
  <c r="A219" i="72" a="1"/>
  <c r="A219" i="72" s="1"/>
  <c r="A218" i="72" a="1"/>
  <c r="A218" i="72" s="1"/>
  <c r="A217" i="72" a="1"/>
  <c r="A217" i="72" s="1"/>
  <c r="A216" i="72" a="1"/>
  <c r="A216" i="72" s="1"/>
  <c r="A215" i="72" a="1"/>
  <c r="A215" i="72" s="1"/>
  <c r="A214" i="72" a="1"/>
  <c r="A214" i="72" s="1"/>
  <c r="A213" i="72" a="1"/>
  <c r="A213" i="72" s="1"/>
  <c r="A212" i="72" a="1"/>
  <c r="A212" i="72" s="1"/>
  <c r="A211" i="72" a="1"/>
  <c r="A211" i="72" s="1"/>
  <c r="A210" i="72" a="1"/>
  <c r="A210" i="72" s="1"/>
  <c r="A209" i="72" a="1"/>
  <c r="A209" i="72" s="1"/>
  <c r="A208" i="72" a="1"/>
  <c r="A208" i="72" s="1"/>
  <c r="A207" i="72" a="1"/>
  <c r="A207" i="72" s="1"/>
  <c r="A206" i="72" a="1"/>
  <c r="A206" i="72" s="1"/>
  <c r="A205" i="72" a="1"/>
  <c r="A205" i="72" s="1"/>
  <c r="A204" i="72" a="1"/>
  <c r="A204" i="72" s="1"/>
  <c r="A203" i="72" a="1"/>
  <c r="A203" i="72" s="1"/>
  <c r="A202" i="72" a="1"/>
  <c r="A202" i="72" s="1"/>
  <c r="A201" i="72" a="1"/>
  <c r="A201" i="72" s="1"/>
  <c r="A200" i="72" a="1"/>
  <c r="A200" i="72" s="1"/>
  <c r="A199" i="72" a="1"/>
  <c r="A199" i="72" s="1"/>
  <c r="A198" i="72" a="1"/>
  <c r="A198" i="72" s="1"/>
  <c r="A197" i="72" a="1"/>
  <c r="A197" i="72" s="1"/>
  <c r="A196" i="72" a="1"/>
  <c r="A196" i="72" s="1"/>
  <c r="A195" i="72" a="1"/>
  <c r="A195" i="72" s="1"/>
  <c r="A194" i="72" a="1"/>
  <c r="A194" i="72" s="1"/>
  <c r="A193" i="72" a="1"/>
  <c r="A193" i="72" s="1"/>
  <c r="A192" i="72" a="1"/>
  <c r="A192" i="72" s="1"/>
  <c r="A191" i="72" a="1"/>
  <c r="A191" i="72" s="1"/>
  <c r="A190" i="72" a="1"/>
  <c r="A190" i="72" s="1"/>
  <c r="A189" i="72" a="1"/>
  <c r="A189" i="72" s="1"/>
  <c r="A188" i="72" a="1"/>
  <c r="A188" i="72" s="1"/>
  <c r="A187" i="72" a="1"/>
  <c r="A187" i="72" s="1"/>
  <c r="A186" i="72" a="1"/>
  <c r="A186" i="72" s="1"/>
  <c r="A185" i="72" a="1"/>
  <c r="A185" i="72" s="1"/>
  <c r="A184" i="72" a="1"/>
  <c r="A184" i="72" s="1"/>
  <c r="A183" i="72" a="1"/>
  <c r="A183" i="72" s="1"/>
  <c r="A182" i="72" a="1"/>
  <c r="A182" i="72" s="1"/>
  <c r="A181" i="72" a="1"/>
  <c r="A181" i="72" s="1"/>
  <c r="A180" i="72" a="1"/>
  <c r="A180" i="72" s="1"/>
  <c r="A179" i="72" a="1"/>
  <c r="A179" i="72" s="1"/>
  <c r="A178" i="72" a="1"/>
  <c r="A178" i="72" s="1"/>
  <c r="A177" i="72" a="1"/>
  <c r="A177" i="72" s="1"/>
  <c r="A176" i="72" a="1"/>
  <c r="A176" i="72" s="1"/>
  <c r="A175" i="72" a="1"/>
  <c r="A175" i="72" s="1"/>
  <c r="A174" i="72" a="1"/>
  <c r="A174" i="72" s="1"/>
  <c r="A173" i="72" a="1"/>
  <c r="A173" i="72" s="1"/>
  <c r="A172" i="72" a="1"/>
  <c r="A172" i="72" s="1"/>
  <c r="A171" i="72" a="1"/>
  <c r="A171" i="72" s="1"/>
  <c r="A170" i="72" a="1"/>
  <c r="A170" i="72" s="1"/>
  <c r="A169" i="72" a="1"/>
  <c r="A169" i="72" s="1"/>
  <c r="A168" i="72" a="1"/>
  <c r="A168" i="72" s="1"/>
  <c r="A167" i="72" a="1"/>
  <c r="A167" i="72" s="1"/>
  <c r="A166" i="72" a="1"/>
  <c r="A166" i="72" s="1"/>
  <c r="A165" i="72" a="1"/>
  <c r="A165" i="72" s="1"/>
  <c r="A164" i="72" a="1"/>
  <c r="A164" i="72" s="1"/>
  <c r="A163" i="72" a="1"/>
  <c r="A163" i="72" s="1"/>
  <c r="A162" i="72" a="1"/>
  <c r="A162" i="72" s="1"/>
  <c r="A19" i="72" a="1"/>
  <c r="A19" i="72" s="1"/>
  <c r="A18" i="72" a="1"/>
  <c r="A18" i="72" s="1"/>
  <c r="A17" i="72" a="1"/>
  <c r="A17" i="72" s="1"/>
  <c r="A16" i="72" a="1"/>
  <c r="A16" i="72" s="1"/>
  <c r="A15" i="72" a="1"/>
  <c r="A15" i="72" s="1"/>
  <c r="A14" i="72" a="1"/>
  <c r="A14" i="72" s="1"/>
  <c r="A13" i="72" a="1"/>
  <c r="A13" i="72" s="1"/>
  <c r="A12" i="72" a="1"/>
  <c r="A12" i="72" s="1"/>
  <c r="A11" i="72" a="1"/>
  <c r="A11" i="72" s="1"/>
  <c r="A10" i="72" a="1"/>
  <c r="A10" i="72" s="1"/>
  <c r="A9" i="72" a="1"/>
  <c r="A9" i="72" s="1"/>
  <c r="A8" i="72" a="1"/>
  <c r="A8" i="72" s="1"/>
  <c r="A7" i="72" a="1"/>
  <c r="A7" i="72" s="1"/>
  <c r="A6" i="72" a="1"/>
  <c r="A6" i="72" s="1"/>
  <c r="A5" i="72" a="1"/>
  <c r="A5" i="72" s="1"/>
  <c r="A4" i="72" a="1"/>
  <c r="A4" i="72" s="1"/>
  <c r="A3" i="72" a="1"/>
  <c r="A3" i="72" s="1"/>
  <c r="A42" i="72" a="1"/>
  <c r="A42" i="72" s="1"/>
  <c r="A41" i="72" a="1"/>
  <c r="A41" i="72" s="1"/>
  <c r="A40" i="72" a="1"/>
  <c r="A40" i="72" s="1"/>
  <c r="A39" i="72" a="1"/>
  <c r="A39" i="72" s="1"/>
  <c r="A38" i="72" a="1"/>
  <c r="A38" i="72" s="1"/>
  <c r="A37" i="72" a="1"/>
  <c r="A37" i="72" s="1"/>
  <c r="A36" i="72" a="1"/>
  <c r="A36" i="72" s="1"/>
  <c r="A35" i="72" a="1"/>
  <c r="A35" i="72" s="1"/>
  <c r="A34" i="72" a="1"/>
  <c r="A34" i="72" s="1"/>
  <c r="A33" i="72" a="1"/>
  <c r="A33" i="72" s="1"/>
  <c r="A32" i="72" a="1"/>
  <c r="A32" i="72" s="1"/>
  <c r="A31" i="72" a="1"/>
  <c r="A31" i="72" s="1"/>
  <c r="A30" i="72" a="1"/>
  <c r="A30" i="72" s="1"/>
  <c r="A29" i="72" a="1"/>
  <c r="A29" i="72" s="1"/>
  <c r="A28" i="72" a="1"/>
  <c r="A28" i="72" s="1"/>
  <c r="A27" i="72" a="1"/>
  <c r="A27" i="72" s="1"/>
  <c r="A26" i="72" a="1"/>
  <c r="A26" i="72" s="1"/>
  <c r="A25" i="72" a="1"/>
  <c r="A25" i="72" s="1"/>
  <c r="A24" i="72" a="1"/>
  <c r="A24" i="72" s="1"/>
  <c r="A23" i="72" a="1"/>
  <c r="A23" i="72" s="1"/>
  <c r="A22" i="72" a="1"/>
  <c r="A22" i="72" s="1"/>
  <c r="A21" i="72" a="1"/>
  <c r="A21" i="72" s="1"/>
  <c r="A20" i="72" a="1"/>
  <c r="A20" i="72" s="1"/>
  <c r="A65" i="72" a="1"/>
  <c r="A65" i="72" s="1"/>
  <c r="A64" i="72" a="1"/>
  <c r="A64" i="72" s="1"/>
  <c r="A63" i="72" a="1"/>
  <c r="A63" i="72" s="1"/>
  <c r="A62" i="72" a="1"/>
  <c r="A62" i="72" s="1"/>
  <c r="A61" i="72" a="1"/>
  <c r="A61" i="72" s="1"/>
  <c r="A60" i="72" a="1"/>
  <c r="A60" i="72" s="1"/>
  <c r="A59" i="72" a="1"/>
  <c r="A59" i="72" s="1"/>
  <c r="A58" i="72" a="1"/>
  <c r="A58" i="72" s="1"/>
  <c r="A57" i="72" a="1"/>
  <c r="A57" i="72" s="1"/>
  <c r="A56" i="72" a="1"/>
  <c r="A56" i="72" s="1"/>
  <c r="A55" i="72" a="1"/>
  <c r="A55" i="72" s="1"/>
  <c r="A54" i="72" a="1"/>
  <c r="A54" i="72" s="1"/>
  <c r="A53" i="72" a="1"/>
  <c r="A53" i="72" s="1"/>
  <c r="A52" i="72" a="1"/>
  <c r="A52" i="72" s="1"/>
  <c r="A51" i="72" a="1"/>
  <c r="A51" i="72" s="1"/>
  <c r="A50" i="72" a="1"/>
  <c r="A50" i="72" s="1"/>
  <c r="A49" i="72" a="1"/>
  <c r="A49" i="72" s="1"/>
  <c r="A48" i="72" a="1"/>
  <c r="A48" i="72" s="1"/>
  <c r="A47" i="72" a="1"/>
  <c r="A47" i="72" s="1"/>
  <c r="A46" i="72" a="1"/>
  <c r="A46" i="72" s="1"/>
  <c r="A45" i="72" a="1"/>
  <c r="A45" i="72" s="1"/>
  <c r="A44" i="72" a="1"/>
  <c r="A44" i="72" s="1"/>
  <c r="A43" i="72" a="1"/>
  <c r="A43" i="72" s="1"/>
  <c r="A89" i="72" a="1"/>
  <c r="A89" i="72" s="1"/>
  <c r="A88" i="72" a="1"/>
  <c r="A88" i="72" s="1"/>
  <c r="A87" i="72" a="1"/>
  <c r="A87" i="72" s="1"/>
  <c r="A86" i="72" a="1"/>
  <c r="A86" i="72" s="1"/>
  <c r="A85" i="72" a="1"/>
  <c r="A85" i="72" s="1"/>
  <c r="A84" i="72" a="1"/>
  <c r="A84" i="72" s="1"/>
  <c r="A83" i="72" a="1"/>
  <c r="A83" i="72" s="1"/>
  <c r="A82" i="72" a="1"/>
  <c r="A82" i="72" s="1"/>
  <c r="A81" i="72" a="1"/>
  <c r="A81" i="72" s="1"/>
  <c r="A80" i="72" a="1"/>
  <c r="A80" i="72" s="1"/>
  <c r="A79" i="72" a="1"/>
  <c r="A79" i="72" s="1"/>
  <c r="A78" i="72" a="1"/>
  <c r="A78" i="72" s="1"/>
  <c r="A77" i="72" a="1"/>
  <c r="A77" i="72" s="1"/>
  <c r="A76" i="72" a="1"/>
  <c r="A76" i="72" s="1"/>
  <c r="A75" i="72" a="1"/>
  <c r="A75" i="72" s="1"/>
  <c r="A74" i="72" a="1"/>
  <c r="A74" i="72" s="1"/>
  <c r="A73" i="72" a="1"/>
  <c r="A73" i="72" s="1"/>
  <c r="A72" i="72" a="1"/>
  <c r="A72" i="72" s="1"/>
  <c r="A71" i="72" a="1"/>
  <c r="A71" i="72" s="1"/>
  <c r="A70" i="72" a="1"/>
  <c r="A70" i="72" s="1"/>
  <c r="A69" i="72" a="1"/>
  <c r="A69" i="72" s="1"/>
  <c r="A68" i="72" a="1"/>
  <c r="A68" i="72" s="1"/>
  <c r="A67" i="72" a="1"/>
  <c r="A67" i="72" s="1"/>
  <c r="A66" i="72" a="1"/>
  <c r="A66" i="72" s="1"/>
  <c r="A114" i="72" a="1"/>
  <c r="A114" i="72" s="1"/>
  <c r="A115" i="72" a="1"/>
  <c r="A115" i="72" s="1"/>
  <c r="A116" i="72" a="1"/>
  <c r="A116" i="72" s="1"/>
  <c r="A117" i="72" a="1"/>
  <c r="A117" i="72" s="1"/>
  <c r="A118" i="72" a="1"/>
  <c r="A118" i="72" s="1"/>
  <c r="A119" i="72" a="1"/>
  <c r="A119" i="72" s="1"/>
  <c r="A120" i="72" a="1"/>
  <c r="A120" i="72" s="1"/>
  <c r="A121" i="72" a="1"/>
  <c r="A121" i="72" s="1"/>
  <c r="A122" i="72" a="1"/>
  <c r="A122" i="72" s="1"/>
  <c r="A123" i="72" a="1"/>
  <c r="A123" i="72" s="1"/>
  <c r="A124" i="72" a="1"/>
  <c r="A124" i="72" s="1"/>
  <c r="A125" i="72" a="1"/>
  <c r="A125" i="72" s="1"/>
  <c r="A126" i="72" a="1"/>
  <c r="A126" i="72" s="1"/>
  <c r="A127" i="72" a="1"/>
  <c r="A127" i="72" s="1"/>
  <c r="A128" i="72" a="1"/>
  <c r="A128" i="72" s="1"/>
  <c r="A129" i="72" a="1"/>
  <c r="A129" i="72" s="1"/>
  <c r="A130" i="72" a="1"/>
  <c r="A130" i="72" s="1"/>
  <c r="A131" i="72" a="1"/>
  <c r="A131" i="72" s="1"/>
  <c r="A132" i="72" a="1"/>
  <c r="A132" i="72" s="1"/>
  <c r="A133" i="72" a="1"/>
  <c r="A133" i="72" s="1"/>
  <c r="A134" i="72" a="1"/>
  <c r="A134" i="72" s="1"/>
  <c r="A135" i="72" a="1"/>
  <c r="A135" i="72" s="1"/>
  <c r="A136" i="72" a="1"/>
  <c r="A136" i="72" s="1"/>
  <c r="A137" i="72" a="1"/>
  <c r="A137" i="72" s="1"/>
  <c r="A138" i="72" a="1"/>
  <c r="A138" i="72" s="1"/>
  <c r="A139" i="72" a="1"/>
  <c r="A139" i="72" s="1"/>
  <c r="A140" i="72" a="1"/>
  <c r="A140" i="72" s="1"/>
  <c r="A141" i="72" a="1"/>
  <c r="A141" i="72" s="1"/>
  <c r="A142" i="72" a="1"/>
  <c r="A142" i="72" s="1"/>
  <c r="A143" i="72" a="1"/>
  <c r="A143" i="72" s="1"/>
  <c r="A144" i="72" a="1"/>
  <c r="A144" i="72" s="1"/>
  <c r="A145" i="72" a="1"/>
  <c r="A145" i="72" s="1"/>
  <c r="A146" i="72" a="1"/>
  <c r="A146" i="72" s="1"/>
  <c r="A147" i="72" a="1"/>
  <c r="A147" i="72" s="1"/>
  <c r="A148" i="72" a="1"/>
  <c r="A148" i="72" s="1"/>
  <c r="A149" i="72" a="1"/>
  <c r="A149" i="72" s="1"/>
  <c r="A150" i="72" a="1"/>
  <c r="A150" i="72" s="1"/>
  <c r="A151" i="72" a="1"/>
  <c r="A151" i="72" s="1"/>
  <c r="A152" i="72" a="1"/>
  <c r="A152" i="72" s="1"/>
  <c r="A153" i="72" a="1"/>
  <c r="A153" i="72" s="1"/>
  <c r="A154" i="72" a="1"/>
  <c r="A154" i="72" s="1"/>
  <c r="A155" i="72" a="1"/>
  <c r="A155" i="72" s="1"/>
  <c r="A156" i="72" a="1"/>
  <c r="A156" i="72" s="1"/>
  <c r="A157" i="72" a="1"/>
  <c r="A157" i="72" s="1"/>
  <c r="A158" i="72" a="1"/>
  <c r="A158" i="72" s="1"/>
  <c r="A159" i="72" a="1"/>
  <c r="A159" i="72" s="1"/>
  <c r="A160" i="72" a="1"/>
  <c r="A160" i="72" s="1"/>
  <c r="A161" i="72" a="1"/>
  <c r="A161" i="72" s="1"/>
  <c r="A110" i="72" a="1"/>
  <c r="A110" i="72" s="1"/>
  <c r="A111" i="72" a="1"/>
  <c r="A111" i="72" s="1"/>
  <c r="A112" i="72" a="1"/>
  <c r="A112" i="72" s="1"/>
  <c r="A113" i="72" a="1"/>
  <c r="A113" i="72" s="1"/>
  <c r="A91" i="72" a="1"/>
  <c r="A91" i="72" s="1"/>
  <c r="A92" i="72" a="1"/>
  <c r="A92" i="72" s="1"/>
  <c r="A93" i="72" a="1"/>
  <c r="A93" i="72" s="1"/>
  <c r="A94" i="72" a="1"/>
  <c r="A94" i="72" s="1"/>
  <c r="A95" i="72" a="1"/>
  <c r="A95" i="72" s="1"/>
  <c r="A96" i="72" a="1"/>
  <c r="A96" i="72" s="1"/>
  <c r="A97" i="72" a="1"/>
  <c r="A97" i="72" s="1"/>
  <c r="A98" i="72" a="1"/>
  <c r="A98" i="72" s="1"/>
  <c r="A99" i="72" a="1"/>
  <c r="A99" i="72" s="1"/>
  <c r="A100" i="72" a="1"/>
  <c r="A100" i="72" s="1"/>
  <c r="A101" i="72" a="1"/>
  <c r="A101" i="72" s="1"/>
  <c r="A102" i="72" a="1"/>
  <c r="A102" i="72" s="1"/>
  <c r="A103" i="72" a="1"/>
  <c r="A103" i="72" s="1"/>
  <c r="A104" i="72" a="1"/>
  <c r="A104" i="72" s="1"/>
  <c r="A105" i="72" a="1"/>
  <c r="A105" i="72" s="1"/>
  <c r="A106" i="72" a="1"/>
  <c r="A106" i="72" s="1"/>
  <c r="A107" i="72" a="1"/>
  <c r="A107" i="72" s="1"/>
  <c r="A108" i="72" a="1"/>
  <c r="A108" i="72" s="1"/>
  <c r="A109" i="72" a="1"/>
  <c r="A109" i="72" s="1"/>
  <c r="A90" i="72" a="1"/>
  <c r="A90" i="72" s="1"/>
  <c r="E38" i="71" a="1"/>
  <c r="E38" i="71" s="1"/>
  <c r="I38" i="71" s="1" a="1"/>
  <c r="I38" i="71" s="1"/>
  <c r="F38" i="71" a="1"/>
  <c r="F38" i="71" s="1"/>
  <c r="E39" i="71" a="1"/>
  <c r="E39" i="71" s="1"/>
  <c r="F39" i="71" a="1"/>
  <c r="F39" i="71" s="1"/>
  <c r="E40" i="71" a="1"/>
  <c r="E40" i="71" s="1"/>
  <c r="I40" i="71" s="1" a="1"/>
  <c r="I40" i="71" s="1"/>
  <c r="F40" i="71" a="1"/>
  <c r="F40" i="71" s="1"/>
  <c r="E41" i="71" a="1"/>
  <c r="E41" i="71" s="1"/>
  <c r="F41" i="71" a="1"/>
  <c r="F41" i="71" s="1"/>
  <c r="E42" i="71" a="1"/>
  <c r="E42" i="71" s="1"/>
  <c r="I42" i="71" s="1" a="1"/>
  <c r="I42" i="71" s="1"/>
  <c r="F42" i="71" a="1"/>
  <c r="F42" i="71" s="1"/>
  <c r="E43" i="71" a="1"/>
  <c r="E43" i="71" s="1"/>
  <c r="F43" i="71" a="1"/>
  <c r="F43" i="71" s="1"/>
  <c r="E44" i="71" a="1"/>
  <c r="E44" i="71" s="1"/>
  <c r="I44" i="71" s="1" a="1"/>
  <c r="I44" i="71" s="1"/>
  <c r="F44" i="71" a="1"/>
  <c r="F44" i="71" s="1"/>
  <c r="E45" i="71" a="1"/>
  <c r="E45" i="71" s="1"/>
  <c r="F45" i="71" a="1"/>
  <c r="F45" i="71" s="1"/>
  <c r="E46" i="71" a="1"/>
  <c r="E46" i="71" s="1"/>
  <c r="F46" i="71" a="1"/>
  <c r="F46" i="71" s="1"/>
  <c r="E47" i="71" a="1"/>
  <c r="E47" i="71" s="1"/>
  <c r="F47" i="71" a="1"/>
  <c r="F47" i="71" s="1"/>
  <c r="E48" i="71" a="1"/>
  <c r="E48" i="71" s="1"/>
  <c r="F48" i="71" a="1"/>
  <c r="F48" i="71" s="1"/>
  <c r="E49" i="71" a="1"/>
  <c r="E49" i="71" s="1"/>
  <c r="F49" i="71" a="1"/>
  <c r="F49" i="71" s="1"/>
  <c r="E50" i="71" a="1"/>
  <c r="E50" i="71" s="1"/>
  <c r="I50" i="71" s="1" a="1"/>
  <c r="I50" i="71" s="1"/>
  <c r="F50" i="71" a="1"/>
  <c r="F50" i="71" s="1"/>
  <c r="E51" i="71" a="1"/>
  <c r="E51" i="71" s="1"/>
  <c r="F51" i="71" a="1"/>
  <c r="F51" i="71" s="1"/>
  <c r="E52" i="71" a="1"/>
  <c r="E52" i="71" s="1"/>
  <c r="I52" i="71" s="1" a="1"/>
  <c r="I52" i="71" s="1"/>
  <c r="F52" i="71" a="1"/>
  <c r="F52" i="71" s="1"/>
  <c r="E53" i="71" a="1"/>
  <c r="E53" i="71" s="1"/>
  <c r="F53" i="71" a="1"/>
  <c r="F53" i="71" s="1"/>
  <c r="E54" i="71" a="1"/>
  <c r="E54" i="71" s="1"/>
  <c r="I54" i="71" s="1" a="1"/>
  <c r="I54" i="71" s="1"/>
  <c r="F54" i="71" a="1"/>
  <c r="F54" i="71" s="1"/>
  <c r="E55" i="71" a="1"/>
  <c r="E55" i="71" s="1"/>
  <c r="F55" i="71" a="1"/>
  <c r="F55" i="71" s="1"/>
  <c r="E56" i="71" a="1"/>
  <c r="E56" i="71" s="1"/>
  <c r="F56" i="71" a="1"/>
  <c r="F56" i="71"/>
  <c r="E57" i="71" a="1"/>
  <c r="E57" i="71" s="1"/>
  <c r="F57" i="71" a="1"/>
  <c r="F57" i="71" s="1"/>
  <c r="E58" i="71" a="1"/>
  <c r="E58" i="71" s="1"/>
  <c r="F58" i="71" a="1"/>
  <c r="F58" i="71" s="1"/>
  <c r="E59" i="71" a="1"/>
  <c r="E59" i="71" s="1"/>
  <c r="F59" i="71" a="1"/>
  <c r="F59" i="71" s="1"/>
  <c r="E60" i="71" a="1"/>
  <c r="E60" i="71" s="1"/>
  <c r="F60" i="71" a="1"/>
  <c r="F60" i="71"/>
  <c r="E61" i="71" a="1"/>
  <c r="E61" i="71" s="1"/>
  <c r="F61" i="71" a="1"/>
  <c r="F61" i="71" s="1"/>
  <c r="E62" i="71" a="1"/>
  <c r="E62" i="71" s="1"/>
  <c r="F62" i="71" a="1"/>
  <c r="F62" i="71" s="1"/>
  <c r="E63" i="71" a="1"/>
  <c r="E63" i="71" s="1"/>
  <c r="F63" i="71" a="1"/>
  <c r="F63" i="71" s="1"/>
  <c r="F37" i="71" a="1"/>
  <c r="F37" i="71" s="1"/>
  <c r="F36" i="71" a="1"/>
  <c r="F36" i="71" s="1"/>
  <c r="F35" i="71" a="1"/>
  <c r="F35" i="71" s="1"/>
  <c r="E37" i="71" a="1"/>
  <c r="E37" i="71" s="1"/>
  <c r="E36" i="71" a="1"/>
  <c r="E36" i="71" s="1"/>
  <c r="E35" i="71" a="1"/>
  <c r="E35" i="71" s="1"/>
  <c r="E34" i="71" a="1"/>
  <c r="E34" i="71" s="1"/>
  <c r="E14" i="71" a="1"/>
  <c r="E14" i="71" s="1"/>
  <c r="F14" i="71" a="1"/>
  <c r="F14" i="71" s="1"/>
  <c r="H14" i="71" s="1"/>
  <c r="E15" i="71" a="1"/>
  <c r="E15" i="71" s="1"/>
  <c r="F15" i="71" a="1"/>
  <c r="F15" i="71" s="1"/>
  <c r="F16" i="71" a="1"/>
  <c r="F16" i="71" s="1"/>
  <c r="E18" i="71" a="1"/>
  <c r="E18" i="71" s="1"/>
  <c r="E30" i="71" a="1"/>
  <c r="E30" i="71" s="1"/>
  <c r="F30" i="71" a="1"/>
  <c r="F30" i="71" s="1"/>
  <c r="E31" i="71" a="1"/>
  <c r="E31" i="71" s="1"/>
  <c r="F31" i="71" a="1"/>
  <c r="F31" i="71" s="1"/>
  <c r="E32" i="71" a="1"/>
  <c r="E32" i="71" s="1"/>
  <c r="F32" i="71" a="1"/>
  <c r="F32" i="71" s="1"/>
  <c r="E33" i="71" a="1"/>
  <c r="E33" i="71" s="1"/>
  <c r="F33" i="71" a="1"/>
  <c r="F33" i="71" s="1"/>
  <c r="F34" i="71" a="1"/>
  <c r="F34" i="71" s="1"/>
  <c r="I51" i="71" l="1" a="1"/>
  <c r="I51" i="71" s="1"/>
  <c r="I49" i="71" a="1"/>
  <c r="I49" i="71" s="1"/>
  <c r="I45" i="71" a="1"/>
  <c r="I45" i="71" s="1"/>
  <c r="I43" i="71" a="1"/>
  <c r="I43" i="71" s="1"/>
  <c r="I41" i="71" a="1"/>
  <c r="I41" i="71" s="1"/>
  <c r="I39" i="71" a="1"/>
  <c r="I39" i="71" s="1"/>
  <c r="I53" i="71" a="1"/>
  <c r="I53" i="71" s="1"/>
  <c r="I47" i="71" a="1"/>
  <c r="I47" i="71" s="1"/>
  <c r="M27" i="71" a="1"/>
  <c r="M27" i="71" s="1"/>
  <c r="M26" i="71" a="1"/>
  <c r="M26" i="71" s="1"/>
  <c r="L41" i="71" s="1"/>
  <c r="M25" i="71" a="1"/>
  <c r="M25" i="71" s="1"/>
  <c r="M24" i="71" a="1"/>
  <c r="M24" i="71" s="1"/>
  <c r="I35" i="71" a="1"/>
  <c r="I35" i="71" s="1"/>
  <c r="I48" i="71" a="1"/>
  <c r="I48" i="71" s="1"/>
  <c r="L40" i="71"/>
  <c r="I46" i="71" a="1"/>
  <c r="I46" i="71" s="1"/>
  <c r="H15" i="71"/>
  <c r="E16" i="71" s="1"/>
  <c r="K15" i="71" a="1"/>
  <c r="K15" i="71" s="1"/>
  <c r="K14" i="71" a="1"/>
  <c r="K14" i="71" s="1"/>
  <c r="L39" i="71" l="1"/>
  <c r="L38" i="71"/>
  <c r="F18" i="71"/>
  <c r="C20" i="71" s="1"/>
  <c r="B25" i="71"/>
  <c r="B16" i="71"/>
  <c r="B22" i="71" s="1"/>
  <c r="D20" i="71" l="1"/>
  <c r="D21" i="71"/>
  <c r="B23" i="71"/>
  <c r="B24" i="71"/>
  <c r="A3" i="70" l="1" a="1"/>
  <c r="A3" i="7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Dear Norathee</author>
    <author>Heng2020</author>
  </authors>
  <commentList>
    <comment ref="S8" authorId="0" shapeId="0" xr:uid="{449E7A1D-3B9D-43CA-B126-179AFDDF53AB}">
      <text>
        <r>
          <rPr>
            <b/>
            <sz val="9"/>
            <color indexed="81"/>
            <rFont val="Tahoma"/>
            <family val="2"/>
          </rPr>
          <t>Dear Norathee:</t>
        </r>
        <r>
          <rPr>
            <sz val="9"/>
            <color indexed="81"/>
            <rFont val="Tahoma"/>
            <family val="2"/>
          </rPr>
          <t xml:space="preserve">
After 12.22 min, it has a fade black out, which French audio comes before the scene,
I think simply translation would fix the issue.
But this means that it requires manual inspection for each video</t>
        </r>
      </text>
    </comment>
    <comment ref="T10" authorId="0" shapeId="0" xr:uid="{9A502B6F-9A02-44E5-892F-79D6E89E96D4}">
      <text>
        <r>
          <rPr>
            <b/>
            <sz val="9"/>
            <color indexed="81"/>
            <rFont val="Tahoma"/>
            <family val="2"/>
          </rPr>
          <t>Dear Norathee:</t>
        </r>
        <r>
          <rPr>
            <sz val="9"/>
            <color indexed="81"/>
            <rFont val="Tahoma"/>
            <family val="2"/>
          </rPr>
          <t xml:space="preserve">
seems like the Frech audio is ahead of video, in later min's
suggesting. The correct speedx for this episode should be lower than current value.
At the first scence, the audio is slightly behind the video(but still torrelatable)</t>
        </r>
      </text>
    </comment>
    <comment ref="T11" authorId="0" shapeId="0" xr:uid="{6F8FAD82-A9D7-472F-9408-2B9659199970}">
      <text>
        <r>
          <rPr>
            <b/>
            <sz val="9"/>
            <color indexed="81"/>
            <rFont val="Tahoma"/>
            <family val="2"/>
          </rPr>
          <t>Dear Norathee:</t>
        </r>
        <r>
          <rPr>
            <sz val="9"/>
            <color indexed="81"/>
            <rFont val="Tahoma"/>
            <family val="2"/>
          </rPr>
          <t xml:space="preserve">
During 7 min the French audio is ahead of audio.
After 7.49 min, in knock scence, it becomes clear that the French audio is ahead of video, I need to calculate speedx manually for this video I think</t>
        </r>
      </text>
    </comment>
    <comment ref="B14" authorId="1" shapeId="0" xr:uid="{9C75FF85-D8DE-494F-A3EE-FC52CDC5D39D}">
      <text>
        <r>
          <rPr>
            <b/>
            <sz val="9"/>
            <color indexed="81"/>
            <rFont val="Tahoma"/>
            <family val="2"/>
          </rPr>
          <t>Heng2020:</t>
        </r>
        <r>
          <rPr>
            <sz val="9"/>
            <color indexed="81"/>
            <rFont val="Tahoma"/>
            <family val="2"/>
          </rPr>
          <t xml:space="preserve">
the time at which 2 scences are the same</t>
        </r>
      </text>
    </comment>
    <comment ref="N26" authorId="0" shapeId="0" xr:uid="{66AA16EC-EA94-4939-A45B-6540BCBFE619}">
      <text>
        <r>
          <rPr>
            <b/>
            <sz val="9"/>
            <color indexed="81"/>
            <rFont val="Tahoma"/>
            <family val="2"/>
          </rPr>
          <t>Dear Norathee:</t>
        </r>
        <r>
          <rPr>
            <sz val="9"/>
            <color indexed="81"/>
            <rFont val="Tahoma"/>
            <family val="2"/>
          </rPr>
          <t xml:space="preserve">
But it doesn't sync good, just torelattable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Dear Norathee</author>
  </authors>
  <commentList>
    <comment ref="A20" authorId="0" shapeId="0" xr:uid="{B53A18A6-1DB5-4B76-879A-8AC266A25E74}">
      <text>
        <r>
          <rPr>
            <b/>
            <sz val="9"/>
            <color indexed="81"/>
            <rFont val="Tahoma"/>
            <family val="2"/>
          </rPr>
          <t>Dear Norathee:</t>
        </r>
        <r>
          <rPr>
            <sz val="9"/>
            <color indexed="81"/>
            <rFont val="Tahoma"/>
            <family val="2"/>
          </rPr>
          <t xml:space="preserve">
test_03</t>
        </r>
      </text>
    </comment>
    <comment ref="G20" authorId="0" shapeId="0" xr:uid="{864EAFDB-A6F0-4094-AA92-2E965691DDEE}">
      <text>
        <r>
          <rPr>
            <b/>
            <sz val="9"/>
            <color indexed="81"/>
            <rFont val="Tahoma"/>
            <family val="2"/>
          </rPr>
          <t>Dear Norathee:</t>
        </r>
        <r>
          <rPr>
            <sz val="9"/>
            <color indexed="81"/>
            <rFont val="Tahoma"/>
            <family val="2"/>
          </rPr>
          <t xml:space="preserve">
test_03</t>
        </r>
      </text>
    </comment>
    <comment ref="C45" authorId="0" shapeId="0" xr:uid="{EBFA288D-3A4E-4AE2-8A95-5E4817FA801C}">
      <text>
        <r>
          <rPr>
            <b/>
            <sz val="9"/>
            <color indexed="81"/>
            <rFont val="Tahoma"/>
            <family val="2"/>
          </rPr>
          <t>Dear Norathee:</t>
        </r>
        <r>
          <rPr>
            <sz val="9"/>
            <color indexed="81"/>
            <rFont val="Tahoma"/>
            <family val="2"/>
          </rPr>
          <t xml:space="preserve">
There's some issue with start of the video. Audio isn't played. I think there's something to do with songs in English.</t>
        </r>
      </text>
    </comment>
    <comment ref="I45" authorId="0" shapeId="0" xr:uid="{20FFE140-F4BC-40EF-A00C-EF58B8F7DFE5}">
      <text>
        <r>
          <rPr>
            <b/>
            <sz val="9"/>
            <color indexed="81"/>
            <rFont val="Tahoma"/>
            <family val="2"/>
          </rPr>
          <t>Dear Norathee:</t>
        </r>
        <r>
          <rPr>
            <sz val="9"/>
            <color indexed="81"/>
            <rFont val="Tahoma"/>
            <family val="2"/>
          </rPr>
          <t xml:space="preserve">
There's some issue with start of the video. Audio isn't played. I think there's something to do with songs in English.</t>
        </r>
      </text>
    </comment>
    <comment ref="B114" authorId="0" shapeId="0" xr:uid="{F0989F84-3BBB-4313-A988-E68A309BC5DB}">
      <text>
        <r>
          <rPr>
            <b/>
            <sz val="9"/>
            <color indexed="81"/>
            <rFont val="Tahoma"/>
            <family val="2"/>
          </rPr>
          <t>Dear Norathee:</t>
        </r>
        <r>
          <rPr>
            <sz val="9"/>
            <color indexed="81"/>
            <rFont val="Tahoma"/>
            <family val="2"/>
          </rPr>
          <t xml:space="preserve">
I randomly checked it seems like for season 6 most of audio are still ahead of videos by 1 se</t>
        </r>
      </text>
    </comment>
    <comment ref="H114" authorId="0" shapeId="0" xr:uid="{E53F0C3C-3FE6-485E-BE46-D7149EA8206F}">
      <text>
        <r>
          <rPr>
            <b/>
            <sz val="9"/>
            <color indexed="81"/>
            <rFont val="Tahoma"/>
            <family val="2"/>
          </rPr>
          <t>Dear Norathee:</t>
        </r>
        <r>
          <rPr>
            <sz val="9"/>
            <color indexed="81"/>
            <rFont val="Tahoma"/>
            <family val="2"/>
          </rPr>
          <t xml:space="preserve">
I randomly checked it seems like for season 6 most of audio are still ahead of videos by 1 se</t>
        </r>
      </text>
    </comment>
    <comment ref="C162" authorId="0" shapeId="0" xr:uid="{6E69F445-DEDA-4D3E-BB24-196C5BEBF077}">
      <text>
        <r>
          <rPr>
            <b/>
            <sz val="9"/>
            <color indexed="81"/>
            <rFont val="Tahoma"/>
            <family val="2"/>
          </rPr>
          <t>Dear Norathee:</t>
        </r>
        <r>
          <rPr>
            <sz val="9"/>
            <color indexed="81"/>
            <rFont val="Tahoma"/>
            <family val="2"/>
          </rPr>
          <t xml:space="preserve">
German videos has no intro, while portuguese has some intro, creating the gap between german and portuguese</t>
        </r>
      </text>
    </comment>
    <comment ref="I162" authorId="0" shapeId="0" xr:uid="{3B9FEFF9-476A-4862-AEF4-1E16E904549E}">
      <text>
        <r>
          <rPr>
            <b/>
            <sz val="9"/>
            <color indexed="81"/>
            <rFont val="Tahoma"/>
            <family val="2"/>
          </rPr>
          <t>Dear Norathee:</t>
        </r>
        <r>
          <rPr>
            <sz val="9"/>
            <color indexed="81"/>
            <rFont val="Tahoma"/>
            <family val="2"/>
          </rPr>
          <t xml:space="preserve">
German videos has no intro, while portuguese has some intro, creating the gap between german and portuguese</t>
        </r>
      </text>
    </comment>
    <comment ref="C186" authorId="0" shapeId="0" xr:uid="{228ABC7C-6869-4E91-86ED-94D3EE73C20E}">
      <text>
        <r>
          <rPr>
            <b/>
            <sz val="9"/>
            <color indexed="81"/>
            <rFont val="Tahoma"/>
            <family val="2"/>
          </rPr>
          <t>Dear Norathee:</t>
        </r>
        <r>
          <rPr>
            <sz val="9"/>
            <color indexed="81"/>
            <rFont val="Tahoma"/>
            <family val="2"/>
          </rPr>
          <t xml:space="preserve">
German videos has no intro, while portuguese has some intro, creating the gap between german and portuguese</t>
        </r>
      </text>
    </comment>
    <comment ref="I186" authorId="0" shapeId="0" xr:uid="{A8D4320E-AC58-49F9-AE46-4FBCA0B4AF90}">
      <text>
        <r>
          <rPr>
            <b/>
            <sz val="9"/>
            <color indexed="81"/>
            <rFont val="Tahoma"/>
            <family val="2"/>
          </rPr>
          <t>Dear Norathee:</t>
        </r>
        <r>
          <rPr>
            <sz val="9"/>
            <color indexed="81"/>
            <rFont val="Tahoma"/>
            <family val="2"/>
          </rPr>
          <t xml:space="preserve">
German videos has no intro, while portuguese has some intro, creating the gap between german and portuguese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<sst xmlns="http://schemas.openxmlformats.org/spreadsheetml/2006/main" count="2533" uniqueCount="1150">
  <si>
    <t>Content</t>
  </si>
  <si>
    <t>S01E02</t>
  </si>
  <si>
    <t>French_sec</t>
  </si>
  <si>
    <t>Portuguese_sec</t>
  </si>
  <si>
    <t>French_min</t>
  </si>
  <si>
    <t>Portuguese_min</t>
  </si>
  <si>
    <t>French</t>
  </si>
  <si>
    <t>Portuguese</t>
  </si>
  <si>
    <t>episode</t>
  </si>
  <si>
    <t>selected_speed</t>
  </si>
  <si>
    <t>status</t>
  </si>
  <si>
    <t>passed</t>
  </si>
  <si>
    <t>S01E13</t>
  </si>
  <si>
    <t>S02E01</t>
  </si>
  <si>
    <t>S01E09</t>
  </si>
  <si>
    <t>S01E15</t>
  </si>
  <si>
    <t>not passed</t>
  </si>
  <si>
    <t>S02E23</t>
  </si>
  <si>
    <t>S03E01</t>
  </si>
  <si>
    <t>S02E19</t>
  </si>
  <si>
    <t>Manual_checking</t>
  </si>
  <si>
    <t>selected_speedx</t>
  </si>
  <si>
    <t>Average_speedx by episode</t>
  </si>
  <si>
    <t>S05E01</t>
  </si>
  <si>
    <t>S05E02</t>
  </si>
  <si>
    <t>S05E03</t>
  </si>
  <si>
    <t>S05E04</t>
  </si>
  <si>
    <t>S05E05</t>
  </si>
  <si>
    <t>S05E06</t>
  </si>
  <si>
    <t>S05E07</t>
  </si>
  <si>
    <t>S05E08</t>
  </si>
  <si>
    <t>S05E09</t>
  </si>
  <si>
    <t>S05E10</t>
  </si>
  <si>
    <t>S05E11</t>
  </si>
  <si>
    <t>S05E12</t>
  </si>
  <si>
    <t>S05E13</t>
  </si>
  <si>
    <t>S05E14</t>
  </si>
  <si>
    <t>S05E15</t>
  </si>
  <si>
    <t>S05E16</t>
  </si>
  <si>
    <t>S05E17</t>
  </si>
  <si>
    <t>S05E18</t>
  </si>
  <si>
    <t>S05E19</t>
  </si>
  <si>
    <t>S05E20</t>
  </si>
  <si>
    <t>has the audio before video about 1 sec after 10.42 transition</t>
  </si>
  <si>
    <t>audio is behind video</t>
  </si>
  <si>
    <t>audio is ahead of video after minute 3.27 min</t>
  </si>
  <si>
    <t>audio is behind video 1 sec</t>
  </si>
  <si>
    <t>audio is behind video 1.5 sec</t>
  </si>
  <si>
    <t>S05E21</t>
  </si>
  <si>
    <t>S05E22</t>
  </si>
  <si>
    <t>S05E23</t>
  </si>
  <si>
    <t>S05E24</t>
  </si>
  <si>
    <t>S06E01</t>
  </si>
  <si>
    <t>S06E02</t>
  </si>
  <si>
    <t>S06E03</t>
  </si>
  <si>
    <t>S06E04</t>
  </si>
  <si>
    <t>S06E05</t>
  </si>
  <si>
    <t>S06E06</t>
  </si>
  <si>
    <t>S06E07</t>
  </si>
  <si>
    <t>S06E08</t>
  </si>
  <si>
    <t>S06E09</t>
  </si>
  <si>
    <t>S06E10</t>
  </si>
  <si>
    <t>S06E11</t>
  </si>
  <si>
    <t>S06E12</t>
  </si>
  <si>
    <t>S06E13</t>
  </si>
  <si>
    <t>S06E14</t>
  </si>
  <si>
    <t>S06E15</t>
  </si>
  <si>
    <t>S06E16</t>
  </si>
  <si>
    <t>S06E17</t>
  </si>
  <si>
    <t>S06E18</t>
  </si>
  <si>
    <t>S06E19</t>
  </si>
  <si>
    <t>S06E20</t>
  </si>
  <si>
    <t>S06E21</t>
  </si>
  <si>
    <t>S06E22</t>
  </si>
  <si>
    <t>S06E23</t>
  </si>
  <si>
    <t>S06E24</t>
  </si>
  <si>
    <t>S07E01</t>
  </si>
  <si>
    <t>S07E02</t>
  </si>
  <si>
    <t>S07E03</t>
  </si>
  <si>
    <t>S07E04</t>
  </si>
  <si>
    <t>S07E05</t>
  </si>
  <si>
    <t>S07E06</t>
  </si>
  <si>
    <t>S07E07</t>
  </si>
  <si>
    <t>S07E08</t>
  </si>
  <si>
    <t>S07E09</t>
  </si>
  <si>
    <t>S07E10</t>
  </si>
  <si>
    <t>S07E11</t>
  </si>
  <si>
    <t>S07E12</t>
  </si>
  <si>
    <t>S07E13</t>
  </si>
  <si>
    <t>S07E14</t>
  </si>
  <si>
    <t>S07E15</t>
  </si>
  <si>
    <t>S07E16</t>
  </si>
  <si>
    <t>S07E17</t>
  </si>
  <si>
    <t>S07E18</t>
  </si>
  <si>
    <t>S07E19</t>
  </si>
  <si>
    <t>S07E20</t>
  </si>
  <si>
    <t>S07E21</t>
  </si>
  <si>
    <t>S07E22</t>
  </si>
  <si>
    <t>S07E23</t>
  </si>
  <si>
    <t>S07E24</t>
  </si>
  <si>
    <t>audio ahead of video after transition 9.30 min</t>
  </si>
  <si>
    <t>audio ahead of video after transition 19.51 min</t>
  </si>
  <si>
    <t>audio is behind of video 1 sec</t>
  </si>
  <si>
    <t>S04E01</t>
  </si>
  <si>
    <t>S04E02</t>
  </si>
  <si>
    <t>S04E03</t>
  </si>
  <si>
    <t>S04E04</t>
  </si>
  <si>
    <t>S04E05</t>
  </si>
  <si>
    <t>S04E06</t>
  </si>
  <si>
    <t>S04E07</t>
  </si>
  <si>
    <t>S04E08</t>
  </si>
  <si>
    <t>S04E09</t>
  </si>
  <si>
    <t>S04E10</t>
  </si>
  <si>
    <t>S04E11</t>
  </si>
  <si>
    <t>S04E12</t>
  </si>
  <si>
    <t>S04E13</t>
  </si>
  <si>
    <t>S04E14</t>
  </si>
  <si>
    <t>S04E15</t>
  </si>
  <si>
    <t>S04E16</t>
  </si>
  <si>
    <t>S04E17</t>
  </si>
  <si>
    <t>S04E18</t>
  </si>
  <si>
    <t>S04E19</t>
  </si>
  <si>
    <t>S04E20</t>
  </si>
  <si>
    <t>S04E21</t>
  </si>
  <si>
    <t>S04E22</t>
  </si>
  <si>
    <t>S04E23</t>
  </si>
  <si>
    <t>S04E24</t>
  </si>
  <si>
    <t>S03E02</t>
  </si>
  <si>
    <t>S03E03</t>
  </si>
  <si>
    <t>S03E04</t>
  </si>
  <si>
    <t>S03E05</t>
  </si>
  <si>
    <t>S03E06</t>
  </si>
  <si>
    <t>S03E07</t>
  </si>
  <si>
    <t>S03E08</t>
  </si>
  <si>
    <t>S03E09</t>
  </si>
  <si>
    <t>S03E10</t>
  </si>
  <si>
    <t>S03E11</t>
  </si>
  <si>
    <t>S03E12</t>
  </si>
  <si>
    <t>S03E13</t>
  </si>
  <si>
    <t>S03E14</t>
  </si>
  <si>
    <t>S03E15</t>
  </si>
  <si>
    <t>S03E16</t>
  </si>
  <si>
    <t>S03E17</t>
  </si>
  <si>
    <t>S03E18</t>
  </si>
  <si>
    <t>S03E19</t>
  </si>
  <si>
    <t>S03E20</t>
  </si>
  <si>
    <t>S03E21</t>
  </si>
  <si>
    <t>S03E22</t>
  </si>
  <si>
    <t>S03E23</t>
  </si>
  <si>
    <t>S02E02</t>
  </si>
  <si>
    <t>S02E03</t>
  </si>
  <si>
    <t>S02E04</t>
  </si>
  <si>
    <t>S02E05</t>
  </si>
  <si>
    <t>S02E06</t>
  </si>
  <si>
    <t>S02E07</t>
  </si>
  <si>
    <t>S02E08</t>
  </si>
  <si>
    <t>S02E09</t>
  </si>
  <si>
    <t>S02E10</t>
  </si>
  <si>
    <t>S02E11</t>
  </si>
  <si>
    <t>S02E12</t>
  </si>
  <si>
    <t>S02E13</t>
  </si>
  <si>
    <t>S02E14</t>
  </si>
  <si>
    <t>S02E15</t>
  </si>
  <si>
    <t>S02E16</t>
  </si>
  <si>
    <t>S02E17</t>
  </si>
  <si>
    <t>S02E18</t>
  </si>
  <si>
    <t>S02E20</t>
  </si>
  <si>
    <t>S02E21</t>
  </si>
  <si>
    <t>S02E22</t>
  </si>
  <si>
    <t>S01E01</t>
  </si>
  <si>
    <t>S01E03</t>
  </si>
  <si>
    <t>S01E04</t>
  </si>
  <si>
    <t>S01E05</t>
  </si>
  <si>
    <t>S01E06</t>
  </si>
  <si>
    <t>S01E07</t>
  </si>
  <si>
    <t>S01E08</t>
  </si>
  <si>
    <t>S01E10</t>
  </si>
  <si>
    <t>S01E11</t>
  </si>
  <si>
    <t>S01E12</t>
  </si>
  <si>
    <t>S01E14</t>
  </si>
  <si>
    <t>S01E16</t>
  </si>
  <si>
    <t>S01E17</t>
  </si>
  <si>
    <t>Season</t>
  </si>
  <si>
    <t>Episodes</t>
  </si>
  <si>
    <t>Issues</t>
  </si>
  <si>
    <t>S08E01</t>
  </si>
  <si>
    <t>S08E02</t>
  </si>
  <si>
    <t>S08E03</t>
  </si>
  <si>
    <t>S08E04</t>
  </si>
  <si>
    <t>S08E05</t>
  </si>
  <si>
    <t>S08E06</t>
  </si>
  <si>
    <t>S08E07</t>
  </si>
  <si>
    <t>S08E08</t>
  </si>
  <si>
    <t>S08E09</t>
  </si>
  <si>
    <t>S08E10</t>
  </si>
  <si>
    <t>S08E11</t>
  </si>
  <si>
    <t>S08E12</t>
  </si>
  <si>
    <t>S08E13</t>
  </si>
  <si>
    <t>S08E14</t>
  </si>
  <si>
    <t>S08E15</t>
  </si>
  <si>
    <t>S08E16</t>
  </si>
  <si>
    <t>S08E17</t>
  </si>
  <si>
    <t>S08E18</t>
  </si>
  <si>
    <t>S08E19</t>
  </si>
  <si>
    <t>S08E20</t>
  </si>
  <si>
    <t>S08E21</t>
  </si>
  <si>
    <t>S08E22</t>
  </si>
  <si>
    <t>S08E23</t>
  </si>
  <si>
    <t>S08E24</t>
  </si>
  <si>
    <t>S09E01</t>
  </si>
  <si>
    <t>S09E02</t>
  </si>
  <si>
    <t>S09E03</t>
  </si>
  <si>
    <t>S09E04</t>
  </si>
  <si>
    <t>S09E05</t>
  </si>
  <si>
    <t>S09E06</t>
  </si>
  <si>
    <t>S09E07</t>
  </si>
  <si>
    <t>S09E08</t>
  </si>
  <si>
    <t>S09E09</t>
  </si>
  <si>
    <t>S09E10</t>
  </si>
  <si>
    <t>S09E11</t>
  </si>
  <si>
    <t>S09E12</t>
  </si>
  <si>
    <t>S09E13</t>
  </si>
  <si>
    <t>S09E14</t>
  </si>
  <si>
    <t>S09E15</t>
  </si>
  <si>
    <t>S09E16</t>
  </si>
  <si>
    <t>S09E17</t>
  </si>
  <si>
    <t>S09E18</t>
  </si>
  <si>
    <t>S09E19</t>
  </si>
  <si>
    <t>S09E20</t>
  </si>
  <si>
    <t>S09E21</t>
  </si>
  <si>
    <t>S09E22</t>
  </si>
  <si>
    <t>S09E23</t>
  </si>
  <si>
    <t>S09E24</t>
  </si>
  <si>
    <t>S10E01</t>
  </si>
  <si>
    <t>S10E02</t>
  </si>
  <si>
    <t>S10E03</t>
  </si>
  <si>
    <t>S10E04</t>
  </si>
  <si>
    <t>S10E05</t>
  </si>
  <si>
    <t>S10E06</t>
  </si>
  <si>
    <t>S10E07</t>
  </si>
  <si>
    <t>S10E08</t>
  </si>
  <si>
    <t>S10E09</t>
  </si>
  <si>
    <t>S10E10</t>
  </si>
  <si>
    <t>S10E11</t>
  </si>
  <si>
    <t>S10E12</t>
  </si>
  <si>
    <t>S10E13</t>
  </si>
  <si>
    <t>S10E14</t>
  </si>
  <si>
    <t>S10E15</t>
  </si>
  <si>
    <t>S10E16</t>
  </si>
  <si>
    <t>S10E17</t>
  </si>
  <si>
    <t>S10E18</t>
  </si>
  <si>
    <t>S10E19</t>
  </si>
  <si>
    <t>S10E20</t>
  </si>
  <si>
    <t>S10E21</t>
  </si>
  <si>
    <t>S10E22</t>
  </si>
  <si>
    <t>S10E23</t>
  </si>
  <si>
    <t>S10E24</t>
  </si>
  <si>
    <t>S11E01</t>
  </si>
  <si>
    <t>S11E02</t>
  </si>
  <si>
    <t>S11E03</t>
  </si>
  <si>
    <t>S11E04</t>
  </si>
  <si>
    <t>S11E05</t>
  </si>
  <si>
    <t>S11E06</t>
  </si>
  <si>
    <t>S11E07</t>
  </si>
  <si>
    <t>S11E08</t>
  </si>
  <si>
    <t>S11E09</t>
  </si>
  <si>
    <t>S11E10</t>
  </si>
  <si>
    <t>S11E11</t>
  </si>
  <si>
    <t>S11E12</t>
  </si>
  <si>
    <t>S11E13</t>
  </si>
  <si>
    <t>S11E14</t>
  </si>
  <si>
    <t>S11E15</t>
  </si>
  <si>
    <t>S11E16</t>
  </si>
  <si>
    <t>S11E17</t>
  </si>
  <si>
    <t>S11E18</t>
  </si>
  <si>
    <t>S11E19</t>
  </si>
  <si>
    <t>S11E20</t>
  </si>
  <si>
    <t>S11E21</t>
  </si>
  <si>
    <t>S11E22</t>
  </si>
  <si>
    <t>S11E23</t>
  </si>
  <si>
    <t>S11E24</t>
  </si>
  <si>
    <t>S12E01</t>
  </si>
  <si>
    <t>S12E02</t>
  </si>
  <si>
    <t>S12E03</t>
  </si>
  <si>
    <t>S12E04</t>
  </si>
  <si>
    <t>S12E05</t>
  </si>
  <si>
    <t>S12E06</t>
  </si>
  <si>
    <t>S12E07</t>
  </si>
  <si>
    <t>S12E08</t>
  </si>
  <si>
    <t>S12E09</t>
  </si>
  <si>
    <t>S12E10</t>
  </si>
  <si>
    <t>S12E11</t>
  </si>
  <si>
    <t>S12E12</t>
  </si>
  <si>
    <t>S12E13</t>
  </si>
  <si>
    <t>S12E14</t>
  </si>
  <si>
    <t>S12E15</t>
  </si>
  <si>
    <t>S12E16</t>
  </si>
  <si>
    <t>S12E17</t>
  </si>
  <si>
    <t>S12E18</t>
  </si>
  <si>
    <t>S12E19</t>
  </si>
  <si>
    <t>S12E20</t>
  </si>
  <si>
    <t>S12E21</t>
  </si>
  <si>
    <t>S12E22</t>
  </si>
  <si>
    <t>S12E23</t>
  </si>
  <si>
    <t>S12E24</t>
  </si>
  <si>
    <t>no audio!!!</t>
  </si>
  <si>
    <t>audio is ahead of video</t>
  </si>
  <si>
    <t>intro previous!!!</t>
  </si>
  <si>
    <t>audio behind video 1 sec, after transition at 9.09</t>
  </si>
  <si>
    <t>audio behind video 1 sec, after the intro</t>
  </si>
  <si>
    <t>Issues_group</t>
  </si>
  <si>
    <t>intro previous</t>
  </si>
  <si>
    <t>other</t>
  </si>
  <si>
    <t>no audio at front</t>
  </si>
  <si>
    <t>entire audio muted</t>
  </si>
  <si>
    <t>ffmpeg</t>
  </si>
  <si>
    <t>C:\C_Video\BigBang Portuguese\BigBang PT Season 09\BigBang PT S09E02.mkv</t>
  </si>
  <si>
    <t>C:\C_Video_Python\The Big Bang Theory\BigBang Theory Season 09\Season 09 Subtitle\German Netflix\cut_front_1_sec/BigBang DE S09E02.srt</t>
  </si>
  <si>
    <t>C:\C_Video_Python\The Big Bang Theory\BigBang Theory Season 09\Season 09 Audio\German\cut_front_1_sec/BigBang DE S09E02_DE.mp3</t>
  </si>
  <si>
    <t>1:s</t>
  </si>
  <si>
    <t>2:a</t>
  </si>
  <si>
    <t>-metadata:s:s:2</t>
  </si>
  <si>
    <t>language=deu</t>
  </si>
  <si>
    <t>title=German_Netflix</t>
  </si>
  <si>
    <t>-metadata:s:a:2</t>
  </si>
  <si>
    <t>-c</t>
  </si>
  <si>
    <t>copy</t>
  </si>
  <si>
    <t>C:\C_Video_Python\Merge Language Video\BigBang Merged\BigBang Season 09\test_02\BigBang PT S09E02.mkv</t>
  </si>
  <si>
    <t>-i</t>
  </si>
  <si>
    <t>-MAP</t>
  </si>
  <si>
    <t>C:\C_Video\BigBang Portuguese\BigBang PT Season 09\BigBang PT S09E01.mkv</t>
  </si>
  <si>
    <t>C:\C_Video_Python\The Big Bang Theory\BigBang Theory Season 09\Season 09 Subtitle\German Netflix\cut_front_1_sec/BigBang DE S09E01.srt</t>
  </si>
  <si>
    <t>C:\C_Video_Python\The Big Bang Theory\BigBang Theory Season 09\Season 09 Audio\German\cut_front_1_sec/BigBang DE S09E01_DE.mp3</t>
  </si>
  <si>
    <t>-metadata:s:s:1</t>
  </si>
  <si>
    <t>C:\C_Video_Python\Merge Language Video\BigBang Merged\BigBang Season 09\test_02\BigBang PT S09E01.mkv</t>
  </si>
  <si>
    <t>Doesn't work (S09E02)</t>
  </si>
  <si>
    <t>Worked (S09E01)</t>
  </si>
  <si>
    <t>ffmpeg -i "C:\\C_Video\\BigBang Portuguese\\BigBang PT Season 09\\BigBang PT S09E02.mkv" -i "C:\\C_Video_Python\\The Big Bang Theory\\BigBang Theory Season 09\\Season 09 Subtitle\\German Netflix\\cut_front_1_sec/BigBang DE S09E02.srt" -i "C:\\C_Video_Python\\The Big Bang Theory\\BigBang Theory Season 09\\Season 09 Audio\\German\\cut_front_1_sec/BigBang DE S09E02_DE.mp3" -map 0 -map 1:s -map 2:a -metadata:s:s:2 language=deu -metadata:s:s:2 title=German_Netflix -metadata:s:a:2 language=deu -metadata:s:a:2 title=German_Netflix -c copy "C:\\C_Video_Python\\Merge Language Video\\BigBang Merged\\BigBang Season 09\\test_02\\BigBang PT S09E02.mkv"</t>
  </si>
  <si>
    <t>latest_status</t>
  </si>
  <si>
    <t>keep_status for future use</t>
  </si>
  <si>
    <t xml:space="preserve"> </t>
  </si>
  <si>
    <t>audio ahead of video about 0.5 sec</t>
  </si>
  <si>
    <t>audio is before video about 1.5 sec after transition 11.27</t>
  </si>
  <si>
    <t>audio is behind video (after transition)</t>
  </si>
  <si>
    <t>audio is ahead of video (after transition)</t>
  </si>
  <si>
    <t>audio is before video about 1 sec after transition 9.25</t>
  </si>
  <si>
    <t>audio ahead of video about 1 sec</t>
  </si>
  <si>
    <t>sentence</t>
  </si>
  <si>
    <t>start</t>
  </si>
  <si>
    <t>end</t>
  </si>
  <si>
    <t>Wenn ein Elektron auf eine Platte mit 2 Spalten geschossen wird,</t>
  </si>
  <si>
    <t>und jeder Spalt beobachtet wird,</t>
  </si>
  <si>
    <t>geht es nicht durch beide hindurch. Unbeobachtet jedoch schon.</t>
  </si>
  <si>
    <t>Das heißt, wenn das Elektron vor Auftreffen auf der Platte beobachtet wird,</t>
  </si>
  <si>
    <t>– geht es nur durch eine der Spalten. – Genau.</t>
  </si>
  <si>
    <t>Worauf willst du hinaus?</t>
  </si>
  <si>
    <t>Auf gar nichts. Es wäre nur ein gutes Motiv für ein T–Shirt.</t>
  </si>
  <si>
    <t>– Verzeihung, bitte. – Sekunde noch.</t>
  </si>
  <si>
    <t>1 waagerecht ist Ägäis, 8 senkrecht ist Nabokov,</t>
  </si>
  <si>
    <t>6 waagerecht ist MCM.</t>
  </si>
  <si>
    <t>14 senkrecht ist...</t>
  </si>
  <si>
    <t>Nehmen Sie mal den Finger weg.</t>
  </si>
  <si>
    <t>Pilot, darum ist 14 waagerecht Port–au–Prince.</t>
  </si>
  <si>
    <t>Sehen Sie, Papa Docs kapitale Idee, das ist Port–au–Prince.</t>
  </si>
  <si>
    <t>Haiti.</t>
  </si>
  <si>
    <t>– Kann ich Ihnen weiterhelfen? – Ja.</t>
  </si>
  <si>
    <t>Ähm, ist das hier die Samenbank für Leute mit hohem IQ?</t>
  </si>
  <si>
    <t>Wenn Sie erst fragen müssen, bleiben Sie wohl außen vor.</t>
  </si>
  <si>
    <t>Ich denke, wir sind am richtigen Ort.</t>
  </si>
  <si>
    <t>– Füllen Sie das aus. – Danke.</t>
  </si>
  <si>
    <t>– Wir kommen gleich zurück. – Lassen Sie sich ruhig Zeit.</t>
  </si>
  <si>
    <t>Ich mache so lange mein Kreuzworträtsel fertig.</t>
  </si>
  <si>
    <t>Oh, wie schwer.</t>
  </si>
  <si>
    <t>Leonard, ich fürchte, ich kann das nicht.</t>
  </si>
  <si>
    <t>Was? Du bist doch schon ein halber Profi.</t>
  </si>
  <si>
    <t>Nein. Wir begehen einen genetischen Betrug.</t>
  </si>
  <si>
    <t>Es gibt keine Garantie, dass unsere Spermien</t>
  </si>
  <si>
    <t>hochintelligente Nachkommen hervorbringen.</t>
  </si>
  <si>
    <t>Denk mal nach.</t>
  </si>
  <si>
    <t>Ich habe eine Schwester mit ähnlicher DNA–Mischung und sie serviert Fast Food.</t>
  </si>
  <si>
    <t>Sheldon, das war deine Idee.</t>
  </si>
  <si>
    <t>Du wolltest was verdienen, um dir einen Breitband–Internet–Anschluss zu holen...</t>
  </si>
  <si>
    <t>Ich weiß, und ich sehne mich nach einer schnelleren Download–Rate.</t>
  </si>
  <si>
    <t>Stell dir aber mal die arme Frau vor, die ihre Hoffnungen in meine Spermien setzt.</t>
  </si>
  <si>
    <t>Was ist, wenn das Kind nicht weiß, ob es ein Integral oder ein Differential</t>
  </si>
  <si>
    <t>verwenden soll, um den Flächeninhalt unter einer Kurve zu berechnen?</t>
  </si>
  <si>
    <t>– Trotzdem würde sie es lieb haben. – Ich aber nicht.</t>
  </si>
  <si>
    <t>Und was willst du jetzt tun?</t>
  </si>
  <si>
    <t>– Ich würde gern gehen. – Ok.</t>
  </si>
  <si>
    <t>– Muss man dafür Regeln beachten? – Ich weiß es nicht.</t>
  </si>
  <si>
    <t>Ich habe noch nie ein Spermaspenden– Angebot zurückziehen müssen.</t>
  </si>
  <si>
    <t>Versuchen wir einfach mal, uns rauszuschleichen.</t>
  </si>
  <si>
    <t>Na gut.</t>
  </si>
  <si>
    <t>– Wiedersehen. – Auf Wiedersehen.</t>
  </si>
  <si>
    <t>Wiedersehen, haben Sie vielen Dank.</t>
  </si>
  <si>
    <t>– Bist du sauer wegen der Samenbank? – Nein.</t>
  </si>
  <si>
    <t>Willst du was Interessantes über Treppen wissen?</t>
  </si>
  <si>
    <t>Eigentlich nicht.</t>
  </si>
  <si>
    <t>Wenn die Höhe einzelner Stufen auch nur um 2 mm von den anderen abweicht,</t>
  </si>
  <si>
    <t>– stolpern die meisten Leute. – Ist mir völlig egal.</t>
  </si>
  <si>
    <t>2 mm? Das hört sich willkürlich an.</t>
  </si>
  <si>
    <t>Es stimmt aber. Ich habe eine Versuchsreihe gemacht, als ich 12 war.</t>
  </si>
  <si>
    <t>Mein Vater hat sich dabei das Schlüsselbein gebrochen.</t>
  </si>
  <si>
    <t>Wurdest du deshalb ins Internat gesteckt?</t>
  </si>
  <si>
    <t>Nein. Das war wegen meiner Versuche mit dem Laser.</t>
  </si>
  <si>
    <t>(LILY ALLEN'S "SMILE" ERTÖNT ÜBER LAUTSPRECHER)</t>
  </si>
  <si>
    <t>Eine neue Nachbarin?</t>
  </si>
  <si>
    <t>SHELDON: Offensichtlich.</t>
  </si>
  <si>
    <t>Eine signifikante Verbesserung gegenüber dem Vorgänger.</t>
  </si>
  <si>
    <t>Du meinst den übergewichtigen Transvestiten mit dem Hautleiden. Ja.</t>
  </si>
  <si>
    <t>Oh, hi.</t>
  </si>
  <si>
    <t>– Hi. – Hi.</t>
  </si>
  <si>
    <t>Hi?</t>
  </si>
  <si>
    <t>Wir wollten Sie nicht stören. Wir wohnen gegenüber.</t>
  </si>
  <si>
    <t>Oh, das ist ja nett.</t>
  </si>
  <si>
    <t>Nein, wir wohnen da natürlich nicht gemeinsam.</t>
  </si>
  <si>
    <t>Eigentlich schon, aber nur in getrennten, heterosexuellen Schlafzimmern.</t>
  </si>
  <si>
    <t>Oh, ok, na dann, bin ich wohl Ihre neue Nachbarin.</t>
  </si>
  <si>
    <t>– Penny. – Leonard. Sheldon.</t>
  </si>
  <si>
    <t>Hi.</t>
  </si>
  <si>
    <t>Na ja,</t>
  </si>
  <si>
    <t>oh, willkommen im Haus.</t>
  </si>
  <si>
    <t>Danke sehr. Vielleicht trinken wir mal einen Kaffee zusammen.</t>
  </si>
  <si>
    <t>– Oh, schön. – Schön.</t>
  </si>
  <si>
    <t>– Schön. – Schön.</t>
  </si>
  <si>
    <t>Wiedersehen.</t>
  </si>
  <si>
    <t>– Wiedersehen. – Wiedersehen.</t>
  </si>
  <si>
    <t>Hätten wir sie zum Essen einladen sollen?</t>
  </si>
  <si>
    <t>Nein, wir wollten uns Staffel 2 von Battlestar Galactica ansehen.</t>
  </si>
  <si>
    <t>Wir haben die DVDs von Staffel 2 schon gesehen.</t>
  </si>
  <si>
    <t>Nicht mit Regie–Kommentar.</t>
  </si>
  <si>
    <t>Wir sollten ihr zeigen, dass wir gute Nachbarn sind.</t>
  </si>
  <si>
    <t>Wir laden sie ein und heißen sie so willkommen.</t>
  </si>
  <si>
    <t>Wir haben doch auch nie Louis, Schrägstrich, Louise zu uns eingeladen.</t>
  </si>
  <si>
    <t>Ja, und das war nicht nett von uns.</t>
  </si>
  <si>
    <t>Wir sollten unseren Freundeskreis erweitern.</t>
  </si>
  <si>
    <t>Ich habe schon einen erweiterten Freundeskreis.</t>
  </si>
  <si>
    <t>Ich habe 212 Freunde bei MySpace.</t>
  </si>
  <si>
    <t>Ja, und du kennst niemanden davon persönlich.</t>
  </si>
  <si>
    <t>Das ist ja das Wunderbare daran.</t>
  </si>
  <si>
    <t>Ich glaube, ich lade sie zu uns ein.</t>
  </si>
  <si>
    <t>Wir machen ein gutes Essen und chatten.</t>
  </si>
  <si>
    <t>Chatten? Wir chatten doch nicht. Zumindest nicht offline.</t>
  </si>
  <si>
    <t>Na, das ist doch gar nicht schwer.</t>
  </si>
  <si>
    <t>Du hörst dir einfach an, was sie sagt,</t>
  </si>
  <si>
    <t>denkst kurz drüber nach und gibst ihr eine passende Antwort.</t>
  </si>
  <si>
    <t>Zu welchem Zweck?</t>
  </si>
  <si>
    <t>– Hi, wir sind's. – Hi.</t>
  </si>
  <si>
    <t>Folgendes,</t>
  </si>
  <si>
    <t>wir haben indisches Essen geholt</t>
  </si>
  <si>
    <t>und ich weiß, dass ein Umzug stressig sein kann</t>
  </si>
  <si>
    <t>und ich konnte feststellen, wenn ich unter Stress stehe,</t>
  </si>
  <si>
    <t>erzielt gutes Essen in netter Gesellschaft eine beruhigende Wirkung.</t>
  </si>
  <si>
    <t>Außerdem ist Curry ein natürliches Abführmittel, wie Sie sicher wissen...</t>
  </si>
  <si>
    <t>Ein gereinigter Verdauungstrakt ist eine Sorge, die man weniger hat.</t>
  </si>
  <si>
    <t>Ich bin zwar auf dem Gebiet kein Experte, aber bei einer Essenseinladung</t>
  </si>
  <si>
    <t>solltest du Anspielungen auf die Verdauung bleiben lassen.</t>
  </si>
  <si>
    <t>Oh, Sie laden mich zum Essen ein?</t>
  </si>
  <si>
    <t>Ja.</t>
  </si>
  <si>
    <t>Oh, das ist wirklich nett. Ich komme gern.</t>
  </si>
  <si>
    <t>Sehr schön.</t>
  </si>
  <si>
    <t>Und, was machen Sie so in Ihrer Freizeit?</t>
  </si>
  <si>
    <t>Na ja, heute wollten wir für Geld masturbieren.</t>
  </si>
  <si>
    <t>– Also, machen Sie es sich gemütlich. – Gern.</t>
  </si>
  <si>
    <t>– Danke. – Ach, keine Ursache.</t>
  </si>
  <si>
    <t>(TONLOS) Ach, keine Ursache.</t>
  </si>
  <si>
    <t>Das sieht ja aus, als wäre es wichtig. Leonard, ist das von Ihnen?</t>
  </si>
  <si>
    <t>Nein, das ist meine Arbeit.</t>
  </si>
  <si>
    <t>Wow.</t>
  </si>
  <si>
    <t>Ja, wissen Sie, das ist nur etwas Quantenmechanik.</t>
  </si>
  <si>
    <t>Mit etwas Stringtheorie hier unten hingekritzelt.</t>
  </si>
  <si>
    <t>Bis auf den Teil. Das ist nur ein Witz,</t>
  </si>
  <si>
    <t>eine Parodie der Born–Oppenheimer–Approximation.</t>
  </si>
  <si>
    <t>Sind Sie so was wie der Typ aus Beautiful Mind? Ein Genie, oder so?</t>
  </si>
  <si>
    <t>Das ist ziemlich beeindruckend.</t>
  </si>
  <si>
    <t>Ich habe auch eine Tafel. Wenn Sie Tafeln mögen, das ist meine.</t>
  </si>
  <si>
    <t>Verdammte Scheiße.</t>
  </si>
  <si>
    <t>Wenn Sie mit verdammter Scheiße dieses unoriginelle Konstrukt meinen,</t>
  </si>
  <si>
    <t>das Sie an jede Wand der Herrentoilette im MIT gekritzelt finden, haben Sie recht.</t>
  </si>
  <si>
    <t>– Was? – Ach, ich bitte dich.</t>
  </si>
  <si>
    <t>Dies Differential steht unter dem Spruch: "Hier sitze ich in meinem Fleiße..."</t>
  </si>
  <si>
    <t>Ich brauchte keine 26 Dimensionen zu erfinden, nur damit die Gleichung aufgeht.</t>
  </si>
  <si>
    <t>– Ich habe sie nicht erfunden. Sie sind da. – In welchem Universum?</t>
  </si>
  <si>
    <t>In allen, darum geht es ja!</t>
  </si>
  <si>
    <t>Haben Sie was dagegen, wenn ich anfange?</t>
  </si>
  <si>
    <t>– Penny? – Ja?</t>
  </si>
  <si>
    <t>Da sitze ich immer.</t>
  </si>
  <si>
    <t>Setzen Sie sich neben mich.</t>
  </si>
  <si>
    <t>– Nein, ich sitze da. – Wo ist der Unterschied?</t>
  </si>
  <si>
    <t>– Wo der Unterschied ist? – Und es geht los.</t>
  </si>
  <si>
    <t>Im Winter ist der Platz nah genug an der Heizung, um warm zu bleiben,</t>
  </si>
  <si>
    <t>und dennoch nicht zu dicht, um ins Schwitzen zu kommen.</t>
  </si>
  <si>
    <t>Im Sommer liegt er in einem angenehmen Durchzug,</t>
  </si>
  <si>
    <t>der entsteht, wenn man die Fenster öffnet, und zwar das und das.</t>
  </si>
  <si>
    <t>Er befindet sich weder direkt vor dem Fernseher,</t>
  </si>
  <si>
    <t>was einer eventuellen Konversation abträglich wäre,</t>
  </si>
  <si>
    <t>noch zu weit weg für eine parallaktische Verzerrung.</t>
  </si>
  <si>
    <t>Ich hätte noch weitere Punkte, doch das Wesentliche war bereits dabei.</t>
  </si>
  <si>
    <t>Soll ich mich umsetzen?</t>
  </si>
  <si>
    <t>– Also... – Setz dich einfach irgendwohin.</t>
  </si>
  <si>
    <t>Ok.</t>
  </si>
  <si>
    <t>Sheldon, setz dich!</t>
  </si>
  <si>
    <t>Ah.</t>
  </si>
  <si>
    <t>Das ist ja schön. Wir haben nicht sehr oft Besuch hier.</t>
  </si>
  <si>
    <t>Das ist nicht wahr. Koothrappali und Wolowitz kommen immer wieder her.</t>
  </si>
  <si>
    <t>Ja, ich weiß, aber...</t>
  </si>
  <si>
    <t>Dienstag haben wir bis ein Uhr nachts Klingonen–Boggle gespielt.</t>
  </si>
  <si>
    <t>– Ja, das habe ich nicht vergessen. – Es ärgert mich, dass du sagst,</t>
  </si>
  <si>
    <t>– wir bekämen nie Besuch. – Es tut mir leid.</t>
  </si>
  <si>
    <t>– Das wirft ein schlechtes Licht auf... – Ich sagte, es tut mir leid!</t>
  </si>
  <si>
    <t>So.</t>
  </si>
  <si>
    <t>Klingonen–Boggle?</t>
  </si>
  <si>
    <t>Ja, es ist wie das klassische Boggle, aber auf Klingonisch.</t>
  </si>
  <si>
    <t>Das sagt wohl genug über uns. Erzählen Sie etwas über sich.</t>
  </si>
  <si>
    <t>Über mich? Ok.</t>
  </si>
  <si>
    <t>Ich bin Sternzeichen Schütze, was Ihnen schon vieles über mich verraten dürfte.</t>
  </si>
  <si>
    <t>Ja, es verrät uns, dass Sie an dem massenkulturellen Irrwahn teilhaben,</t>
  </si>
  <si>
    <t>demzufolge die Position der Sonne im Verhältnis zu willkürlichen Sternbildern</t>
  </si>
  <si>
    <t>zum Zeitpunkt Ihrer Geburt Einfluss auf Ihre Persönlichkeit hat.</t>
  </si>
  <si>
    <t>Massenkulturellem, was?</t>
  </si>
  <si>
    <t>Ich glaube, was Sheldon damit sagen wollte, ist,</t>
  </si>
  <si>
    <t>dass wir wohl als Letztes darauf gekommen wären, dass Sie Schütze sind.</t>
  </si>
  <si>
    <t>Oh ja, die meisten glauben, ich sei ein Wasserzeichen.</t>
  </si>
  <si>
    <t>Ok, warten Sie, was noch?</t>
  </si>
  <si>
    <t>Oh, ich bin Vegetarierin.</t>
  </si>
  <si>
    <t>Abgesehen von Fisch. Und hin und wieder ein Steak. Ich liebe Steaks.</t>
  </si>
  <si>
    <t>Das ist ja interessant.</t>
  </si>
  <si>
    <t>Leonard kann keinen Mais verdauen.</t>
  </si>
  <si>
    <t>Und haben Sie auch irgendeinen Job?</t>
  </si>
  <si>
    <t>PENNY: Oh ja.</t>
  </si>
  <si>
    <t>Ich bin Serviererin in der Cheese Cake Factory.</t>
  </si>
  <si>
    <t>Ich liebe Käsekuchen.</t>
  </si>
  <si>
    <t>– Du verträgst auch keine Laktose. – Ich esse ihn nicht, finde ihn aber gut.</t>
  </si>
  <si>
    <t>Ach ja, ich schreibe außerdem an einem Drehbuch.</t>
  </si>
  <si>
    <t>Dabei geht es um eine sensible junge Frau, die aus Lincoln, Nebraska nach L.A. zieht,</t>
  </si>
  <si>
    <t>um Schauspielerin zu werden, aber Serviererin wird.</t>
  </si>
  <si>
    <t>Dann basiert das Buch auf Ihrem Leben?</t>
  </si>
  <si>
    <t>Nein, ich bin aus Omaha.</t>
  </si>
  <si>
    <t>Wenn daraus ein Film wird, werde ich ihn mir ansehen.</t>
  </si>
  <si>
    <t>Das wird sicher einer.</t>
  </si>
  <si>
    <t>Warten Sie... Was noch?</t>
  </si>
  <si>
    <t>Das wäre es.</t>
  </si>
  <si>
    <t>Das ist die Geschichte von Penny.</t>
  </si>
  <si>
    <t>Die hört sich doch ganz wundervoll an.</t>
  </si>
  <si>
    <t>Das war sie auch.</t>
  </si>
  <si>
    <t>Und dann verliebte ich mich in diesen Idioten.</t>
  </si>
  <si>
    <t>Was ist mit ihr?</t>
  </si>
  <si>
    <t>(TONLOS) Keine Ahnung.</t>
  </si>
  <si>
    <t>Oh, Gott, 4 Jahre habe ich mit ihm zusammengelebt.</t>
  </si>
  <si>
    <t>4 Jahre! Das ist so lange, wie die Highschool geht.</t>
  </si>
  <si>
    <t>Sie haben 4 Jahre für die Highschool gebraucht?</t>
  </si>
  <si>
    <t>Ich kann... Ich kann nicht begreifen, wie ich ihm vertrauen konnte.</t>
  </si>
  <si>
    <t>Soll ich zu ihr sprechen? Ich habe das Gefühl, dass ich was sagen müsste.</t>
  </si>
  <si>
    <t>Du? Nein, das macht es nur schlimmer.</t>
  </si>
  <si>
    <t>Wissen Sie, was das Bescheuerte daran ist?</t>
  </si>
  <si>
    <t>Obwohl ich diesen hinterhältigen, verlogenen Schuft eigentlich hasse,</t>
  </si>
  <si>
    <t>liebe ich ihn tatsächlich noch immer.</t>
  </si>
  <si>
    <t>Ist das verrückt?</t>
  </si>
  <si>
    <t>Nein, ich würde nicht sagen, verrückt.</t>
  </si>
  <si>
    <t>Es ist ein Paradoxon.</t>
  </si>
  <si>
    <t>Paradoxa sind Bestandteile der Natur. Beispielsweise das Licht.</t>
  </si>
  <si>
    <t>Lesen Sie bei Huygens nach, ist das Licht eine Welle.</t>
  </si>
  <si>
    <t>Wie es auch durch den Doppelspaltversuch nachweisbar ist.</t>
  </si>
  <si>
    <t>Aber dann erschien der gute Albert Einstein</t>
  </si>
  <si>
    <t>und entdeckte, dass sich Licht ebenso wie Teilchen verhält.</t>
  </si>
  <si>
    <t>Also, schlimmer ist es nicht geworden.</t>
  </si>
  <si>
    <t>Es tut mir leid, dass ich so drauf bin.</t>
  </si>
  <si>
    <t>Und außerdem sehe ich unmöglich aus, von dem Umzug</t>
  </si>
  <si>
    <t>und die blöde Dusche funktioniert auch nicht.</t>
  </si>
  <si>
    <t>Unsere Dusche geht.</t>
  </si>
  <si>
    <t>Wäre es sehr unverschämt von mir, wenn ich sie benutzen würde?</t>
  </si>
  <si>
    <t>– Ja. – Nein.</t>
  </si>
  <si>
    <t>– Nein? – Nein.</t>
  </si>
  <si>
    <t>Nein.</t>
  </si>
  <si>
    <t>Sie ist gleich den Flur da runter.</t>
  </si>
  <si>
    <t>Danke.</t>
  </si>
  <si>
    <t>Sie sind wirklich sehr zuvorkommend.</t>
  </si>
  <si>
    <t>Also, das ist ja eine sehr interessante Entwicklung.</t>
  </si>
  <si>
    <t>LEONARD: Wieso das?</t>
  </si>
  <si>
    <t>SHELDON: Es ist schon ein ganzes Weilchen her,</t>
  </si>
  <si>
    <t>dass sich eine Frau in unserer Wohnung ausgezogen hat.</t>
  </si>
  <si>
    <t>Das stimmt nicht ganz. Letztes Thanksgiving</t>
  </si>
  <si>
    <t>hatte doch meine alzheimerkranke Großmutter diesen Aussetzer.</t>
  </si>
  <si>
    <t>Da gebe ich dir recht.</t>
  </si>
  <si>
    <t>Ich meinte auch, es sei ein Weilchen her, dass sich hier eine Frau ausgezogen hat,</t>
  </si>
  <si>
    <t>ohne dass wir uns hinterher die Augen ausreißen wollten.</t>
  </si>
  <si>
    <t>Das Schlimmste war, ihr beim Tranchieren des Truthahns zuzusehen.</t>
  </si>
  <si>
    <t>Also, was genau versuchst du eigentlich hier zu bezwecken?</t>
  </si>
  <si>
    <t>Was meinst du?</t>
  </si>
  <si>
    <t>Diese Frau wird garantiert keinen Sex mit dir wollen.</t>
  </si>
  <si>
    <t>Ich habe auch gar nicht vor, mit ihr zu schlafen.</t>
  </si>
  <si>
    <t>Gut, dann bleibt dir eine Enttäuschung erspart.</t>
  </si>
  <si>
    <t>Wie kommst du darauf, dass sie nicht mit mir schlafen würde?</t>
  </si>
  <si>
    <t>Ich bin ein Mann, sie eine Frau.</t>
  </si>
  <si>
    <t>Ja, aber ihr gehört nicht derselben Spezies an.</t>
  </si>
  <si>
    <t>Ich lasse mich nicht auf irgendwelche Spekulationen ein.</t>
  </si>
  <si>
    <t>– Ich will nur ein guter Nachbar sein. – Oh, natürlich.</t>
  </si>
  <si>
    <t>Das soll nicht heißen, dass ich nicht mitziehen würde,</t>
  </si>
  <si>
    <t>falls sich eine fleischliche Beziehung ergeben sollte.</t>
  </si>
  <si>
    <t>Zumindest vorübergehend.</t>
  </si>
  <si>
    <t>Und wird dieser eventuelle Fall begünstigt oder eher verhindert,</t>
  </si>
  <si>
    <t>wenn sie dein Luke–Skywalker– Kindershampoo entdeckt?</t>
  </si>
  <si>
    <t>Das ist das Darth–Vader–Shampoo.</t>
  </si>
  <si>
    <t>(KLOPFEN AN DER TÜR)</t>
  </si>
  <si>
    <t>Luke Skywalker ist die Pflegespülung.</t>
  </si>
  <si>
    <t>– Das müsst ihr euch ansehen. – Es ist fantastisch. Unglaublich.</t>
  </si>
  <si>
    <t>Was denn?</t>
  </si>
  <si>
    <t>Eine Vorlesung von Stephen Hawking, die er am MIT 1974 gehalten hat.</t>
  </si>
  <si>
    <t>Das ist gerade ungünstig, weil...</t>
  </si>
  <si>
    <t>(IMITIERT COMPUTERSTIMME) Aus der Zeit,</t>
  </si>
  <si>
    <t>bevor er eine gruselige Computerstimme wurde.</t>
  </si>
  <si>
    <t>– Ist ja toll. Ihr müsst gehen. – Wieso?</t>
  </si>
  <si>
    <t>– Weil es gerade einfach nicht passt. – Leonard hat gerade eine Lady zu Besuch.</t>
  </si>
  <si>
    <t>(MIT NORMALER STIMME) Ach ja? Ist deine Großmutter wieder in der Stadt?</t>
  </si>
  <si>
    <t>Und es ist keine Lady, sondern die neue Nachbarin.</t>
  </si>
  <si>
    <t>Augenblick mal. Hier ist wirklich eine Frau?</t>
  </si>
  <si>
    <t>– Ja. – Und du willst uns raus haben,</t>
  </si>
  <si>
    <t>weil dich ein Koitus erwartet?</t>
  </si>
  <si>
    <t>– Ich bin nicht in Erwartung eines Koitus. – Steht sie für einen Koitus zur Verfügung?</t>
  </si>
  <si>
    <t>Hör doch mal auf, dauernd Koitus zu sagen.</t>
  </si>
  <si>
    <t>Das wäre dann jetzt ein Coitus interruptus.</t>
  </si>
  <si>
    <t>Hey, gibt es einen Trick, wie man von Wanne auf Dusche umstellt?</t>
  </si>
  <si>
    <t>Oh, hi. Entschuldigung.</t>
  </si>
  <si>
    <t>Hallo.</t>
  </si>
  <si>
    <t>Enchanté, Mademoiselle.</t>
  </si>
  <si>
    <t>Howard Wolowitz. California Institute für angewandte Physik.</t>
  </si>
  <si>
    <t>Sie haben vielleicht von einem Teil meiner Arbeit gehört.</t>
  </si>
  <si>
    <t>Sie kreist gerade um den größten Jupitermond</t>
  </si>
  <si>
    <t>und liefert hochauflösende Digitalfotografien.</t>
  </si>
  <si>
    <t>Penny. Ich arbeite in der Cheese Cake Factory.</t>
  </si>
  <si>
    <t>– Ich zeige Ihnen das mit der Dusche. – Ok.</t>
  </si>
  <si>
    <t>(SPRICHT FRANZÖSISCH)</t>
  </si>
  <si>
    <t>Ich war bitte, was?</t>
  </si>
  <si>
    <t>Das ist französisch für "Duschen Sie gut".</t>
  </si>
  <si>
    <t>Ein Wunsch, den ich in 6 Sprachen aussprechen kann.</t>
  </si>
  <si>
    <t>Heb dir das für deinen Blog auf, Howard.</t>
  </si>
  <si>
    <t>(SPRICHT FREMDSPRACHE)</t>
  </si>
  <si>
    <t>LEONARD: So, jetzt geht's. Es klemmt ab und zu mal.</t>
  </si>
  <si>
    <t>– Ok. Danke. – Kein Problem.</t>
  </si>
  <si>
    <t>Oh, Sie sind schon... Ok.</t>
  </si>
  <si>
    <t>– PENNY: Ach, Leonard? – Das Haarwaschzeug ist von Sheldon.</t>
  </si>
  <si>
    <t>PENNY: Ok.</t>
  </si>
  <si>
    <t>– Darf ich Sie um einen Gefallen bitten? – Einen Gefallen?</t>
  </si>
  <si>
    <t>Klar, dürfen Sie mich um einen Gefallen bitten. Ich tu Ihnen sogar einen.</t>
  </si>
  <si>
    <t>– Es ist aber ok, wenn Sie Nein sagen. – Oh, bestimmt sage ich Ja.</t>
  </si>
  <si>
    <t>Das darf man eigentlich keinen fragen, den man gerade erst kennengelernt hat.</t>
  </si>
  <si>
    <t>Ich finde, wir sollten noch einmal die Kausalkette durchdiskutieren.</t>
  </si>
  <si>
    <t>– Müssen wir das? – Ereignis A:</t>
  </si>
  <si>
    <t>Eine hübsche Frau steht nackt unter unserer Dusche.</t>
  </si>
  <si>
    <t>Ereignis B: Wir fahren durch die halbe Stadt, um einen Fernseher</t>
  </si>
  <si>
    <t>vom Exfreund der besagten Frau abzuholen.</t>
  </si>
  <si>
    <t>Die Frage: Auf welcher Ebene der Existenz siehst du eine rationale Verbindung</t>
  </si>
  <si>
    <t>zwischen diesen Ereignissen?</t>
  </si>
  <si>
    <t>Sie hat mich gebeten, ihr einen Gefallen zu tun, Sheldon.</t>
  </si>
  <si>
    <t>Ah ja. Das mag die proximale Begründung unserer Fahrt sein.</t>
  </si>
  <si>
    <t>Aber wir beide wissen, dass diese nicht ohne eine auf höherer Ebene distale</t>
  </si>
  <si>
    <t>Ursache existieren würde.</t>
  </si>
  <si>
    <t>– Und die wäre? – Du denkst mit deinem Penis.</t>
  </si>
  <si>
    <t>Das ist eine biologische Unmöglichkeit und du musstest nicht mitkommen.</t>
  </si>
  <si>
    <t>Oh ja. Ich hätte zu Hause mit ansehen können, wie Wolowitz Peggy anbaggert,</t>
  </si>
  <si>
    <t>auf Russisch, Arabisch und Farsi.</t>
  </si>
  <si>
    <t>Wieso kann sie den Fernseher nicht selbst holen?</t>
  </si>
  <si>
    <t>Hör mal, du weißt doch, wie das ist, wenn man Schluss macht.</t>
  </si>
  <si>
    <t>Nein, weiß ich nicht. Und du weißt es auch nicht.</t>
  </si>
  <si>
    <t>Doch, ich habe mit Joyce Kim Schluss gemacht.</t>
  </si>
  <si>
    <t>Du hast nicht mit ihr Schluss gemacht. Sie hat sich nach Nord–Korea abgesetzt.</t>
  </si>
  <si>
    <t>Um ihr gebrochenes Herz zu heilen.</t>
  </si>
  <si>
    <t>Diese Situation hier ist ein bisschen unkomplizierter.</t>
  </si>
  <si>
    <t>Zwischen Penny und ihrem Exfreund besteht eine kleine Unstimmigkeit darüber,</t>
  </si>
  <si>
    <t>wem der Fernseher gehört.</t>
  </si>
  <si>
    <t>Sie will einfach nur kein Theater mit ihm haben.</t>
  </si>
  <si>
    <t>Heißt das, wir werden das Theater mit ihm haben?</t>
  </si>
  <si>
    <t>Nein, Sheldon, es wird ganz ruhig vonstattengehen.</t>
  </si>
  <si>
    <t>Wir sind zu zweit und er ist allein.</t>
  </si>
  <si>
    <t>Leonard, wir 2 schaffen es nicht mal, einen Fernseher zu tragen.</t>
  </si>
  <si>
    <t>Also, Sie arbeiten mit Leonard und Sheldon an der Universität?</t>
  </si>
  <si>
    <t>Verzeihung, sprechen Sie unsere Sprache nicht?</t>
  </si>
  <si>
    <t>Doch, bestens sogar, er kann nur nicht mit Frauen sprechen.</t>
  </si>
  <si>
    <t>Wirklich? Wieso nicht?</t>
  </si>
  <si>
    <t>Er ist sozusagen ein Nerd.</t>
  </si>
  <si>
    <t>Saftpäckchen?</t>
  </si>
  <si>
    <t>– Ich übernehme das Reden. – MANN: Ja?</t>
  </si>
  <si>
    <t>– Hi. Ich bin Leonard. Das ist Sheldon. – Hallo.</t>
  </si>
  <si>
    <t>Wirst du wohl...?</t>
  </si>
  <si>
    <t>– Wir holen Pennys Fernseher ab. – Verpisst euch.</t>
  </si>
  <si>
    <t>Ok, danke für Ihre Mühe.</t>
  </si>
  <si>
    <t>– Wir geben doch nicht einfach so auf. – Der Fernseher ist in dem Gebäude,</t>
  </si>
  <si>
    <t>zu dem uns der Zutritt verweigert wird. Ergo, sind wir fertig.</t>
  </si>
  <si>
    <t>Entschuldige mal,</t>
  </si>
  <si>
    <t>wenn ich nach dem ersten Problem auf– gegeben hätte, wäre es mir nie gelungen,</t>
  </si>
  <si>
    <t>die Fingerabdrücke der Stringtheorie nach dem Urknall nachzuweisen.</t>
  </si>
  <si>
    <t>Ich muss mich entschuldigen. Wie lautet dein Plan?</t>
  </si>
  <si>
    <t>Es ist mir eine Ehre, deinem Verstand bei der Arbeit zuzusehen.</t>
  </si>
  <si>
    <t>Hör mal, wir haben zusammen einen IQ von 360.</t>
  </si>
  <si>
    <t>Uns wird doch wohl was einfallen, wie wir in das blöde Haus reinkommen.</t>
  </si>
  <si>
    <t>(SUMMER)</t>
  </si>
  <si>
    <t>– Wie hoch ist wohl ihr IQ? – Halt einfach die Tür auf!</t>
  </si>
  <si>
    <t>LEONARD: Hier ist es.</t>
  </si>
  <si>
    <t>Ich übernehme das Reden.</t>
  </si>
  <si>
    <t>Einverstanden. Ich mache dann den Muskelmann.</t>
  </si>
  <si>
    <t>– Ja? – Ich bin Leonard, das ist Sheldon.</t>
  </si>
  <si>
    <t>Von der Sprechanlage.</t>
  </si>
  <si>
    <t>Wie seid ihr in das Haus reingekommen?</t>
  </si>
  <si>
    <t>Wir sind Wissenschaftler.</t>
  </si>
  <si>
    <t>Erzähl ihm von unserem IQ.</t>
  </si>
  <si>
    <t>– Leonard? – Was ist?</t>
  </si>
  <si>
    <t>– Meine Mama hat mir die Hose gekauft. – Es tut mir leid.</t>
  </si>
  <si>
    <t>Du wirst sie anrufen müssen.</t>
  </si>
  <si>
    <t>Sheldon, es tut mir schrecklich leid, dass ich dich da reingezogen habe.</t>
  </si>
  <si>
    <t>Ist ok. Das war nicht mein erstes Hosen– Fiasko und wird nicht mein letztes sein.</t>
  </si>
  <si>
    <t>Und du hattest recht mit meinem Motiv.</t>
  </si>
  <si>
    <t>Ich habe gehofft, eine Beziehung zu Penny aufzubauen,</t>
  </si>
  <si>
    <t>die vielleicht eines Tages zu Sex geführt hätte.</t>
  </si>
  <si>
    <t>SHELDON: Mich hast du jedenfalls aus meiner Hose bekommen.</t>
  </si>
  <si>
    <t>Ich habe meine Lektion gelernt.</t>
  </si>
  <si>
    <t>Wir sind zu unterschiedlich, ich bin mit ihr fertig.</t>
  </si>
  <si>
    <t>Ich habe meine Arbeit,</t>
  </si>
  <si>
    <t>eines Tages erhalte ich den Nobelpreis und sterbe allein und verlassen.</t>
  </si>
  <si>
    <t>An so was darfst du nicht denken. Du wirst schon nicht allein sterben.</t>
  </si>
  <si>
    <t>Danke, Sheldon, du bist ein guter Freund.</t>
  </si>
  <si>
    <t>SHELDON: Und den Nobelpreis wirst du auch nie bekommen.</t>
  </si>
  <si>
    <t>Das ist einer meiner Lieblingsorte, an denen ich nach der Arbeit abhänge.</t>
  </si>
  <si>
    <t>Die haben ein selbst gebrautes Bier, das ist klasse.</t>
  </si>
  <si>
    <t>PENNY: Wow, cooler Tiger.</t>
  </si>
  <si>
    <t>Ja, den habe ich seit Level 10.</t>
  </si>
  <si>
    <t>Sein Name ist Buttons.</t>
  </si>
  <si>
    <t>Jedenfalls, wenn Sie sich auch mit eigenem Avatar einklinken würden,</t>
  </si>
  <si>
    <t>könnten wir zusammen losziehen.</t>
  </si>
  <si>
    <t>– Das hört sich interessant an. – Dann denken Sie drüber nach?</t>
  </si>
  <si>
    <t>Oh, ich glaube, ich werde über nichts anderes mehr nachdenken können.</t>
  </si>
  <si>
    <t>Süß.</t>
  </si>
  <si>
    <t>– Da sind wir. – Oh, mein Gott, was ist passiert?</t>
  </si>
  <si>
    <t>Ja, also, Ihr Exfreund lässt herzlich grüßen</t>
  </si>
  <si>
    <t>und ich denke, dass der Rest so ziemlich für sich selbst spricht.</t>
  </si>
  <si>
    <t>Mir tut das schrecklich leid.</t>
  </si>
  <si>
    <t>Ich habe gedacht, wenn Sie hingehen, benimmt er sich nicht wie ein Arsch.</t>
  </si>
  <si>
    <t>Nein, diese Annahme war durchaus berechtigt.</t>
  </si>
  <si>
    <t>Diese Annahme war durchaus be...? Was ist los mit dir?</t>
  </si>
  <si>
    <t>Wirklich. Ich danke Ihnen, dass Sie hingegangen sind und es versucht haben.</t>
  </si>
  <si>
    <t>Sie sind echt fabelhaft.</t>
  </si>
  <si>
    <t>Wie wär's, wenn Sie sich was anziehen</t>
  </si>
  <si>
    <t>und ich hole meine Handtasche und lade Sie zum Essen ein, ok?</t>
  </si>
  <si>
    <t>– Das wäre nett. – Vielen Dank.</t>
  </si>
  <si>
    <t>Du bist noch nicht mit ihr fertig.</t>
  </si>
  <si>
    <t>Unsere Kinder werden hübsch und intelligent sein.</t>
  </si>
  <si>
    <t>Und nicht zu vergessen: imaginär.</t>
  </si>
  <si>
    <t>– Wäre Thai ok, Penny? – Klar.</t>
  </si>
  <si>
    <t>Thailändisch geht nicht, wir hatten indisch zu Mittag.</t>
  </si>
  <si>
    <t>– Und? – Beide Küchen basieren auf Curry.</t>
  </si>
  <si>
    <t>– Und? – Das wäre gastronomisch redundant.</t>
  </si>
  <si>
    <t>Ich sehe schon, wir werden dem Mädchen aber auch alles erklären müssen.</t>
  </si>
  <si>
    <t>Irgendeine Idee, Raj?</t>
  </si>
  <si>
    <t>Fahr links in die Lake Street und dann weiter zur Colorado.</t>
  </si>
  <si>
    <t>Ich kenne da eine kleine Sushi–Bar, die eine Karaoke–Anlage hat.</t>
  </si>
  <si>
    <t>Na, das hört sich doch lustig an.</t>
  </si>
  <si>
    <t>(SINGT) Baby, baby, don't get hooked on me</t>
  </si>
  <si>
    <t>Oh, baby, baby Don't get hooked on</t>
  </si>
  <si>
    <t>Ich weiß nicht, wie deine Chancen sonst so stehen,</t>
  </si>
  <si>
    <t>aber gegen die Mitfahrer in diesem Wagen bist du so was wie der Frauenheld.</t>
  </si>
  <si>
    <t>(SINGT) Baby, don't get hooked on me</t>
  </si>
  <si>
    <t>Amazon</t>
  </si>
  <si>
    <t>26 waagerecht ist MCM.</t>
  </si>
  <si>
    <t>Oh, ok, na dann, bin ich wohl eure neue Nachbarin.</t>
  </si>
  <si>
    <t>Oh, ihr ladet mich zum Essen ein?</t>
  </si>
  <si>
    <t>Und, was macht ihr so in eurer Freizeit?</t>
  </si>
  <si>
    <t>– Also, mach es dir gemütlich. – Gern.</t>
  </si>
  <si>
    <t>Das sieht ja aus, als wäre es wichtig. Leonard, ist das von dir?</t>
  </si>
  <si>
    <t>Ja, weißt du, das ist nur etwas Quantenmechanik.</t>
  </si>
  <si>
    <t>Bist du so was wie der Typ aus Beautiful Mind? Ein Genie, oder so?</t>
  </si>
  <si>
    <t>Ich habe auch eine Tafel. Wenn du Tafeln magst, das ist meine.</t>
  </si>
  <si>
    <t>Wenn du mit verdammter Scheiße dieses unoriginelle Konstrukt meinst,</t>
  </si>
  <si>
    <t>das du an jede Wand der Herrentoilette im MIT gekritzelt findest, hast du recht.</t>
  </si>
  <si>
    <t>Habt ihr was dagegen, wenn ich anfange?</t>
  </si>
  <si>
    <t>Setz dich doch neben mich.</t>
  </si>
  <si>
    <t>– Hab's nicht vergessen. – Es ärgert mich, dass du sagst,</t>
  </si>
  <si>
    <t>Das sagt wohl genug über uns. Erzähl uns etwas über dich.</t>
  </si>
  <si>
    <t>Ich bin Sternzeichen Schütze, was euch schon vieles über mich verraten dürfte.</t>
  </si>
  <si>
    <t>Ja, es verrät uns, dass du an dem massenkulturellen Irrwahn teilnimmst,</t>
  </si>
  <si>
    <t>zum Zeitpunkt deiner Geburt Einfluss auf deine Persönlichkeit hat.</t>
  </si>
  <si>
    <t>dass wir wohl als Letztes darauf gekommen wären, dass du Schütze bist.</t>
  </si>
  <si>
    <t>Ok, wartet, was noch?</t>
  </si>
  <si>
    <t>Und hast du auch irgendeinen Job?</t>
  </si>
  <si>
    <t>Dann basiert das Buch auf deinem Leben?</t>
  </si>
  <si>
    <t>Wartet... Was noch?</t>
  </si>
  <si>
    <t>Du hast 4 Jahre für die Highschool gebraucht?</t>
  </si>
  <si>
    <t>Wisst ihr, was das Bescheuerte daran ist?</t>
  </si>
  <si>
    <t>Liest du bei Huygens nach, ist das Licht eine Welle.</t>
  </si>
  <si>
    <t>Du hast vielleicht von einem Teil meiner Arbeit gehört.</t>
  </si>
  <si>
    <t>– Ich zeige dir das mit der Dusche. – Ok.</t>
  </si>
  <si>
    <t>Oh, du bist schon... Ok.</t>
  </si>
  <si>
    <t>– Darf ich dich um einen Gefallen bitten? – Einen Gefallen?</t>
  </si>
  <si>
    <t>Klar, darfst du mich um einen Gefallen bitten. Ich tu dir sogar einen.</t>
  </si>
  <si>
    <t>– Es ist aber ok, wenn du Nein sagst. – Oh, bestimmt sage ich Ja.</t>
  </si>
  <si>
    <t>Oh ja. Ich hätte zu Hause mit ansehen können, wie Wolowitz Penny anbaggert,</t>
  </si>
  <si>
    <t>Also, du arbeitest mit Leonard und Sheldon an der Universität?</t>
  </si>
  <si>
    <t>Verzeihung, sprichst du unsere Sprache nicht?</t>
  </si>
  <si>
    <t>Ok, danke für deine Mühe.</t>
  </si>
  <si>
    <t>Jedenfalls, wenn du dich auch mit eigenem Avatar einklinken würdest,</t>
  </si>
  <si>
    <t>– Das hört sich interessant an. – Dann denkst du drüber nach?</t>
  </si>
  <si>
    <t>Ja, also, dein Exfreund lässt herzlich grüßen</t>
  </si>
  <si>
    <t>Ich habe gedacht, wenn ihr hingeht, benimmt er sich nicht wie ein Arsch.</t>
  </si>
  <si>
    <t>Wirklich. Ich danke euch, dass ihr hingegangen seid und es versucht habt.</t>
  </si>
  <si>
    <t>Ihr seid echt fabelhaft.</t>
  </si>
  <si>
    <t>Wie wär's, wenn ihr euch was anzieht,</t>
  </si>
  <si>
    <t>und ich hole meine Handtasche und lade euch zum Essen ein, ok?</t>
  </si>
  <si>
    <t>(SINGT) Baby, baby, häng dich nicht an mich</t>
  </si>
  <si>
    <t>Oh, baby, baby Häng dich nicht an mich</t>
  </si>
  <si>
    <t>(SINGT) Baby, häng dich nicht an mich</t>
  </si>
  <si>
    <t>Neflix</t>
  </si>
  <si>
    <t>check</t>
  </si>
  <si>
    <t>audio_trancribe_exact</t>
  </si>
  <si>
    <t>Was du da isst, ist eigentlich kein Joghurt,</t>
  </si>
  <si>
    <t>weil es dazu nicht genug lebende Acidophilus–Kulturen enthält.</t>
  </si>
  <si>
    <t>Es ist nur Milcheis mit beigefügtem Karrageen zur Verdickung.</t>
  </si>
  <si>
    <t>– Das ist ja wirklich interessant. – Und Joghurt ist nicht rosa mit Beeren.</t>
  </si>
  <si>
    <t>Ja, aber das ist nicht die Antwort auf meine Frage.</t>
  </si>
  <si>
    <t>– Wie war die Frage noch gleich? – Willst du was haben?</t>
  </si>
  <si>
    <t>– Oh. Nein. Ich bin laktoseintolerant. – Ach so.</t>
  </si>
  <si>
    <t>– Also Winde. – Stimmt. Ja, alles klar.</t>
  </si>
  <si>
    <t>Also, gute Nacht.</t>
  </si>
  <si>
    <t>– Was tust du denn da? – Da hat's gezogen.</t>
  </si>
  <si>
    <t>PENNY: Ich habe keinen Zug gespürt.</t>
  </si>
  <si>
    <t>– Wir könnten ja vielleicht in deine... – Oh ja.</t>
  </si>
  <si>
    <t>Am besten gehen wir es ein bisschen langsamer an.</t>
  </si>
  <si>
    <t>Nein, ich wollte nicht in deine Wohnung gehen, um es zu überstürzen.</t>
  </si>
  <si>
    <t>Ja, ich weiß.</t>
  </si>
  <si>
    <t>Ich verstehe, was du meinst. Es ist ja unser erstes Date.</t>
  </si>
  <si>
    <t>Ja, ok. Klar. Kein Problem.</t>
  </si>
  <si>
    <t>Wir könnten doch einfach festlegen, wann es mit uns weitergehen soll</t>
  </si>
  <si>
    <t>und wie schnell es weitergehen soll.</t>
  </si>
  <si>
    <t>Denn Geschwindigkeit ist ja das Weg–pro–Zeit–Verhältnis.</t>
  </si>
  <si>
    <t>Ableitungsregel.</t>
  </si>
  <si>
    <t>Wir könnten auch einfach improvisieren.</t>
  </si>
  <si>
    <t>Das mag auch gehen.</t>
  </si>
  <si>
    <t>– Gute Nacht, Leonard. – Gute Nacht.</t>
  </si>
  <si>
    <t>Er kommt. Bildschirmschoner.</t>
  </si>
  <si>
    <t>Oh, hey, Leonard.</t>
  </si>
  <si>
    <t>– Wie war dein Date? – Du kannst mich mal.</t>
  </si>
  <si>
    <t>Sheldon, wie kannst du es nur zulassen, dass sie mir nachspionieren?</t>
  </si>
  <si>
    <t>Sie waren clever, Leonard.</t>
  </si>
  <si>
    <t>Sie haben sich mein völliges Desinteresse an dem, was du tust, zunutze gemacht.</t>
  </si>
  <si>
    <t>Du solltest uns danken. Wenn künftige Generationen analysieren wollen,</t>
  </si>
  <si>
    <t>warum deine Beziehung zu Penny abgestürzt und verbrannt ist,</t>
  </si>
  <si>
    <t>dann ist hier für sie die Blackbox.</t>
  </si>
  <si>
    <t>Was redest du da bloß? Das Date ist doch gut gelaufen.</t>
  </si>
  <si>
    <t>Alter, sie sagte, sie will's langsamer.</t>
  </si>
  <si>
    <t>Ok. Dann sagte sie eben, sie will's nicht so schnell angehen.</t>
  </si>
  <si>
    <t>Das ist so, als würde man sagen: Das Essen ist ja richtig super.</t>
  </si>
  <si>
    <t>Ich werde mein Tempo drosseln und es richtig genießen.</t>
  </si>
  <si>
    <t>Nein, es klingt eher nach: "Dieser Fisch ist verdorben,</t>
  </si>
  <si>
    <t>darum ziehe ich mal lieber die Bremse und spucke ihn aus."</t>
  </si>
  <si>
    <t>– Und du bist der Fisch. – Ich bin nicht der Fisch.</t>
  </si>
  <si>
    <t>Ach, wirklich? Macht ihr ein zweites Date?</t>
  </si>
  <si>
    <t>– Nein. Wir wollen improvisieren. – Oh, weiß sogar ich, dass das lahm ist.</t>
  </si>
  <si>
    <t>Ok, na gut. Gehen wir mal von eurer Hypothese aus.</t>
  </si>
  <si>
    <t>Wir waren essen. Wir haben uns unterhalten, gelacht, haben uns geküsst.</t>
  </si>
  <si>
    <t>Wo habe ich eventuell was falsch gemacht?</t>
  </si>
  <si>
    <t>Denk mal nach, Leonard. Die kleinste Kleinigkeit kann eine Frau aufregen.</t>
  </si>
  <si>
    <t>Wie: "Die Serviererin ist heiß. Ich wette, wir schaffen es, dass sie mit uns geht."</t>
  </si>
  <si>
    <t>Oder: "Wie viel wiegt deine Mutter?</t>
  </si>
  <si>
    <t>Ich möchte wissen, worauf ich mich einlasse."</t>
  </si>
  <si>
    <t>– Ich habe nichts dergleichen gesagt. – Gut, weil es auch nicht funktioniert.</t>
  </si>
  <si>
    <t>Sie mögen's auch nicht, wenn man sie angafft und hyperventiliert.</t>
  </si>
  <si>
    <t>Leider ist das meine bewährte Methode.</t>
  </si>
  <si>
    <t>Also, es ist doch alles sehr gut gelaufen.</t>
  </si>
  <si>
    <t>Ich musste nicht mal auf meine spontane Gesprächseröffnung zurückgreifen.</t>
  </si>
  <si>
    <t>Die Frau von der anderen Seite des Flurs steht auf mich.</t>
  </si>
  <si>
    <t>Sehen wir uns das Video an.</t>
  </si>
  <si>
    <t>Sieh dir ihre Reaktion auf den Gutenachtkuss an.</t>
  </si>
  <si>
    <t>Die Atmung ist unverändert, die Pupillen sind nicht erweitert.</t>
  </si>
  <si>
    <t>Und überhaupt keine Rötung des Dekolletés.</t>
  </si>
  <si>
    <t>Schöne Einstellung übrigens.</t>
  </si>
  <si>
    <t>Interessant. Ihre Kiefer sind zusammen– gepresst. Kein Zungenkontakt möglich.</t>
  </si>
  <si>
    <t>Eindeutig ein schlechtes Zeichen unter Paaren.</t>
  </si>
  <si>
    <t>Das ist überhaupt kein schlechtes Zeichen.</t>
  </si>
  <si>
    <t>Ich bitte dich. Ihr könntet 2 Leguane sein, die ihre Kehlwammen nicht aufblähen.</t>
  </si>
  <si>
    <t>Und das schlechteste Zeichen von allen ist, dass du hier bist und nicht dort.</t>
  </si>
  <si>
    <t>Ich bin nicht dort, weil ich es eben langsam angehen lassen will.</t>
  </si>
  <si>
    <t>Was übrigens im Vergleich zu euch an die Warp–Geschwindigkeit heranreicht.</t>
  </si>
  <si>
    <t>Und montiere diese Kamera da ab.</t>
  </si>
  <si>
    <t>Er war spaßiger, als er sie nur angehimmelt hat.</t>
  </si>
  <si>
    <t>Gib ihm Zeit.</t>
  </si>
  <si>
    <t>– Hi. – Oh, hi, Penny.</t>
  </si>
  <si>
    <t>Warte. Das Wasser in Maschine 2 wird nicht heiß genug. Nur für Buntwäsche.</t>
  </si>
  <si>
    <t>Und in der 4 läuft der Weichspüler zu früh rein.</t>
  </si>
  <si>
    <t>Deshalb würde ich sie für deine Feinwäsche</t>
  </si>
  <si>
    <t>– lieber nicht benutzen. – Danke.</t>
  </si>
  <si>
    <t>Um Himmels willen.</t>
  </si>
  <si>
    <t>Warum bringst du deine Sachen nicht zum Fluss</t>
  </si>
  <si>
    <t>und schlägst sie auf einen Stein?</t>
  </si>
  <si>
    <t>Sheldon, kann ich dich mal was fragen?</t>
  </si>
  <si>
    <t>Mir wär's lieber, wenn nicht, aber ich fürchte, ich kann es dir nicht verbieten.</t>
  </si>
  <si>
    <t>Gut. Ich habe da ein "Ja" gehört. Also,</t>
  </si>
  <si>
    <t>ok, hier ist meine Frage.</t>
  </si>
  <si>
    <t>Ist Leonard je mit einem normalen Mädchen ausgegangen?</t>
  </si>
  <si>
    <t>Ich nehme an, du meinst nicht ein Mädchen mit normaler Verdauung.</t>
  </si>
  <si>
    <t>Denn ich glaube, solche Fragen sind unangemessen.</t>
  </si>
  <si>
    <t>Nein, ich hab gemeint, hatte er je eine Beziehung mit einer Frau,</t>
  </si>
  <si>
    <t>die keine Intelligenzbestie war?</t>
  </si>
  <si>
    <t>Oh. Ja, vor ein paar Jahren</t>
  </si>
  <si>
    <t>ist er mit einer ausgegangen, die einen Doktor in französischer Literatur hat.</t>
  </si>
  <si>
    <t>– Und inwiefern kam sie dir anders vor? – Na ja, zum einen war sie Französin,</t>
  </si>
  <si>
    <t>zum anderen war es Literatur.</t>
  </si>
  <si>
    <t>Also,</t>
  </si>
  <si>
    <t>denkst du, dass es Leonard irgendwann langweilig wird,</t>
  </si>
  <si>
    <t>wenn wir weiter miteinander ausgehen?</t>
  </si>
  <si>
    <t>– Kommt drauf an. – Worauf?</t>
  </si>
  <si>
    <t>Hast du ein Grundwissen in der Quantenphysik?</t>
  </si>
  <si>
    <t>Sprichst du Klingonisch?</t>
  </si>
  <si>
    <t>– Kennst du Kartentricks? – Ok.</t>
  </si>
  <si>
    <t>Schon klar. Leonard dürfte sich nicht mit einer Serviererin/Schauspielerin abgeben,</t>
  </si>
  <si>
    <t>die sich so unsicher gefühlt hat,</t>
  </si>
  <si>
    <t>dass sie ihn wegen dem Abschluss am Gemeinde–College angelogen hat.</t>
  </si>
  <si>
    <t>Wieso hast du ihn deswegen angelogen?</t>
  </si>
  <si>
    <t>Na ja, er hat immer wieder von seinem College und der Uni geredet.</t>
  </si>
  <si>
    <t>Da ich wollte nicht, dass er mich für so ein dummes Blondchen hält.</t>
  </si>
  <si>
    <t>Warte, du meinst, das Gegenteil davon</t>
  </si>
  <si>
    <t>wäre Absolvent eines Gemeinde–Colleges?</t>
  </si>
  <si>
    <t>Weißt du, es gibt sehr viele erfolgreiche Menschen in diesem Land,</t>
  </si>
  <si>
    <t>die nur Absolventen eines Gemeinde–Colleges sind.</t>
  </si>
  <si>
    <t>Ja, aber du bist beides nicht.</t>
  </si>
  <si>
    <t>Genau. Ok. Das bleibt aber unter uns.</t>
  </si>
  <si>
    <t>Du darfst Leonard kein Wort davon sagen.</t>
  </si>
  <si>
    <t>Willst du, dass ich ein Geheimnis wahre?</t>
  </si>
  <si>
    <t>– Ja. – Tja, das tut mir leid.</t>
  </si>
  <si>
    <t>Du hättest diesen Wunsch äußern sollen, bevor du mir ein Geheimnis anvertraust.</t>
  </si>
  <si>
    <t>Dann hätte ich mich entscheiden können, ob ich so eine Geheimhaltung akzeptiere.</t>
  </si>
  <si>
    <t>Du kannst doch nicht einfach retrospektiv Geheimhaltung einfordern.</t>
  </si>
  <si>
    <t>Was?</t>
  </si>
  <si>
    <t>Etwas geheim zu halten, ist ein kompliziertes Unternehmen.</t>
  </si>
  <si>
    <t>Man muss sich nicht nur darum kümmern, was man sagt, sondern</t>
  </si>
  <si>
    <t>auch um seinen Gesichtsausdruck und die unbedingten Reflexe.</t>
  </si>
  <si>
    <t>Wenn ich versuche, jemanden zu täuschen,</t>
  </si>
  <si>
    <t>hab ich mehr nervöse Ticks als ein Forschungslabor für Lyme–Borreliose.</t>
  </si>
  <si>
    <t>Das war ein Witz.</t>
  </si>
  <si>
    <t>Er beruht auf der Homonymie des Wortes Zecke für blutsaugendes Spinnentier</t>
  </si>
  <si>
    <t>sowie des Wortes Tick für unwillkürliche Muskelkontraktion.</t>
  </si>
  <si>
    <t>(LACHT)</t>
  </si>
  <si>
    <t>Den habe ich mir selbst ausgedacht.</t>
  </si>
  <si>
    <t>Hör zu. Wenn Leonard dahinterkommt, dass ich gelogen habe,</t>
  </si>
  <si>
    <t>dann werde ich vor Scham total im Boden versinken.</t>
  </si>
  <si>
    <t>– Physiologisch völlig unmöglich. – Ach, Sheldon, bitte.</t>
  </si>
  <si>
    <t>Das wäre wirklich ein netter Freundschaftsdienst.</t>
  </si>
  <si>
    <t>Willst du damit sagen, dass Freundschaft</t>
  </si>
  <si>
    <t>die inhärente Verpflichtung einschließt, Geheimnisse für sich zu behalten?</t>
  </si>
  <si>
    <t>– Äh, ja. – Interessant.</t>
  </si>
  <si>
    <t>Noch eine Frage. Und damit hätte ich vielleicht beginnen sollen.</t>
  </si>
  <si>
    <t>Wann sind wir Freunde geworden?</t>
  </si>
  <si>
    <t>Ich kann nicht zu den Kämpfern der Grünen Laterne gehören,</t>
  </si>
  <si>
    <t>es sei denn, die Wächter von Oa würden mich erwählen.</t>
  </si>
  <si>
    <t>Aber mit genügend Startkapital und der passenden Forschungseinrichtung,</t>
  </si>
  <si>
    <t>könnte ich Batman sein.</t>
  </si>
  <si>
    <t>– Du könntest Batman sein? – Klar.</t>
  </si>
  <si>
    <t>(MIT TIEFER STIMME) Ich bin Batman.</t>
  </si>
  <si>
    <t>(MIT NORMALER STIMME) Siehst du?</t>
  </si>
  <si>
    <t>– Hi, Leute. – Hey.</t>
  </si>
  <si>
    <t>– Hi, Penny. – Hey.</t>
  </si>
  <si>
    <t>Wenn du Freitagabend nichts vorhast, könnten wir zusammen ins Kino gehen.</t>
  </si>
  <si>
    <t>Oh, ich fürchte, ich habe am Freitag die Spätschicht.</t>
  </si>
  <si>
    <t>– Und Samstag? Geht's da? – Na ja, ich weiß nicht genau.</t>
  </si>
  <si>
    <t>Der Geschäftsführer hat den Dienstplan nicht ausgehängt. Ich sag dir Bescheid.</t>
  </si>
  <si>
    <t>– Gut. – Ok.</t>
  </si>
  <si>
    <t>Dann sag gleich Bescheid. Oh, Gott, ich bin der verdorbene riechende Fisch.</t>
  </si>
  <si>
    <t>– Was mach ich denn falsch? – Wieso fragst du mich das?</t>
  </si>
  <si>
    <t>Ich weiß nämlich nichts über deine Interaktionen mit Penny, bis auf das,</t>
  </si>
  <si>
    <t>was du mir lieferst. Und ich komme auch nicht an weitere Informationen ran.</t>
  </si>
  <si>
    <t>– LEONARD: Was soll das bedeuten? – Nichts.</t>
  </si>
  <si>
    <t>Du scheinst anzudeuten, dass zwischen Penny und mir</t>
  </si>
  <si>
    <t>ein geheimer Informationskanal besteht,</t>
  </si>
  <si>
    <t>– obwohl das eindeutig nicht der Fall ist. – Nein, gar nicht wahr.</t>
  </si>
  <si>
    <t>Dann musst du mal etwas sorgfältiger auf deine Formulierungen achten.</t>
  </si>
  <si>
    <t>– Was ist denn los mit dir? – Ich könnte dir dieselbe Frage stellen.</t>
  </si>
  <si>
    <t>Wieso willst du mich in Dinge hinein– ziehen, die nichts mit mir zu tun haben,</t>
  </si>
  <si>
    <t>sondern eine Sache zwischen dir und Penny sind, mit der ich kaum rede.</t>
  </si>
  <si>
    <t>Was ist mit deinem Gesicht los?</t>
  </si>
  <si>
    <t>Du hast keinen Grund, mein Aussehen mit hineinzuziehen.</t>
  </si>
  <si>
    <t>– Guten Tag, Leonard. – Was?</t>
  </si>
  <si>
    <t>Ich sagte: "Guten Tag."</t>
  </si>
  <si>
    <t>Guten Tag?</t>
  </si>
  <si>
    <t>Außerdem haben wir heute frisch gefangenen Alaska–Lachs,</t>
  </si>
  <si>
    <t>mit Teriyaki glasiert und dazu Klebereis.</t>
  </si>
  <si>
    <t>– Unsere Tagessuppe ist heute... – Du musst mich von dem Eid entbinden.</t>
  </si>
  <si>
    <t>Sheldon, ich arbeite gerade.</t>
  </si>
  <si>
    <t>Suchen Sie sich inzwischen was aus.</t>
  </si>
  <si>
    <t>Ich kann dein Geheimnis nicht bewahren.</t>
  </si>
  <si>
    <t>Ich werde zusammengefaltet</t>
  </si>
  <si>
    <t>wie ein energiebasiertes Protein im Konformations–Raum.</t>
  </si>
  <si>
    <t>Wie ein Renaissance–Triptychon.</t>
  </si>
  <si>
    <t>Wie ein billiger Anzug.</t>
  </si>
  <si>
    <t>Und wieso fällt es dir schwer, ein kleines Geheimnis für dich zu behalten?</t>
  </si>
  <si>
    <t>Meine körperliche Konstitution ist dem nicht gewachsen.</t>
  </si>
  <si>
    <t>Deshalb hab ich die Sicherheitsüberprüfung</t>
  </si>
  <si>
    <t>für ein anspruchsvolles Forschungsprojekt der Regierung</t>
  </si>
  <si>
    <t>an einem militärischen Superbeschleuniger, der unter einem</t>
  </si>
  <si>
    <t>fingierten Landwirtschaftsbetrieb nahe Michigan gelegen ist, nicht bestanden.</t>
  </si>
  <si>
    <t>Gehört hast du das aber jetzt nicht von mir.</t>
  </si>
  <si>
    <t>Gut, vergiss einfach, dass ich dir anvertraut hab,</t>
  </si>
  <si>
    <t>dass ich das Gemeinde–College nicht abgeschlossen habe, ok?</t>
  </si>
  <si>
    <t>Vergessen? Ich soll es vergessen? Dieses Gehirn kann nicht vergessen.</t>
  </si>
  <si>
    <t>Ich hab nicht eine Sache vergessen, seit meine Mutter aufhörte, mich zu stillen.</t>
  </si>
  <si>
    <t>– Es war ein vernieselter Dienstag. – Ok.</t>
  </si>
  <si>
    <t>Gut, du hast versprochen, dass du mein Geheimnis für dich behältst.</t>
  </si>
  <si>
    <t>Also sieh zu, wie du das hinkriegst.</t>
  </si>
  <si>
    <t>Leonard, ich werde hier ausziehen.</t>
  </si>
  <si>
    <t>Was meinst du damit, du ziehst aus? Wieso?</t>
  </si>
  <si>
    <t>Dafür muss es keinen Grund geben.</t>
  </si>
  <si>
    <t>– Na ja, anscheinend doch. – Nicht unbedingt.</t>
  </si>
  <si>
    <t>Dies ist ein klassisches Beispiel für das Münchhausen–Trilemma.</t>
  </si>
  <si>
    <t>Entweder beruht die Erklärung auf Untererklärungen,</t>
  </si>
  <si>
    <t>die zu einer unendlichen Regression führen,</t>
  </si>
  <si>
    <t>oder sie greift zurück auf willkürliche Behauptungen</t>
  </si>
  <si>
    <t>oder sie verläuft sich im Kreis.</t>
  </si>
  <si>
    <t>Das heißt, ich werde ausziehen, weil ich ausziehen werde.</t>
  </si>
  <si>
    <t>Ich bin noch immer verwirrt.</t>
  </si>
  <si>
    <t>Noch einfacher kann ich es nicht sagen. Ich wüsste nicht, wie.</t>
  </si>
  <si>
    <t>Hey, qu'est–ce que geht ab?</t>
  </si>
  <si>
    <t>Wir waren in der Ausstellung mit den plastinierten menschlichen Kadavern.</t>
  </si>
  <si>
    <t>Und ein paar von den enthäuteten Bräuten waren echt geil.</t>
  </si>
  <si>
    <t>Wenn ihr mich jetzt entschuldigt, ich muss packen.</t>
  </si>
  <si>
    <t>Das ist 'ne echte Überreaktion auf 'ne kleine harmlose Nekrophilie.</t>
  </si>
  <si>
    <t>Das ist nicht wegen dir, Howard. Er hat gesagt, er würde ausziehen.</t>
  </si>
  <si>
    <t>Was hast du getan?</t>
  </si>
  <si>
    <t>Hast du am Fernseher wieder die Kontrasteinstellung verändert?</t>
  </si>
  <si>
    <t>– Nein. – Hast du in seinem Beisein</t>
  </si>
  <si>
    <t>ein Pflaster abgemacht?</t>
  </si>
  <si>
    <t>– Nein. – Hast du No Name–Ketchup gekauft?</t>
  </si>
  <si>
    <t>Vergessen, die Spüle auszuwischen? Ihn durch die Badezimmertür angesprochen?</t>
  </si>
  <si>
    <t>Hast du ein auf altgriechisch basiertes Fremdwort falsch ausgesprochen?</t>
  </si>
  <si>
    <t>Hast du die Eisenbahn verspottet?</t>
  </si>
  <si>
    <t>Ich hab nichts dergleichen getan. Er hat einfach den Verstand verloren.</t>
  </si>
  <si>
    <t>Oh, wir wussten, dass es mal so kommt.</t>
  </si>
  <si>
    <t>Das ging aber schnell.</t>
  </si>
  <si>
    <t>Das ist mein vorbereitetes Notfallgepäck.</t>
  </si>
  <si>
    <t>Eine Empfehlung des Verteidigungsministeriums.</t>
  </si>
  <si>
    <t>Und von Sarah Connor.</t>
  </si>
  <si>
    <t>Wo willst du denn wohnen?</t>
  </si>
  <si>
    <t>Bis ich eine ständige Bleibe gefunden habe bei Freunden.</t>
  </si>
  <si>
    <t>Also, es geht nicht bei mir. Ich hab ein klitzekleines Apartment.</t>
  </si>
  <si>
    <t>Entschuldige, aber ist Gastfreundschaft nicht ein Aspekt des Manushya yajna,</t>
  </si>
  <si>
    <t>einer der 5 zentralen religiösen Pflichten</t>
  </si>
  <si>
    <t>und Opfergabe des Hausherrn bei Hindus?</t>
  </si>
  <si>
    <t>Ich hasse Eisenbahnen.</t>
  </si>
  <si>
    <t>Sei nicht albern. Du liebst die Eisenbahn.</t>
  </si>
  <si>
    <t>Ja, du hast recht, komm mit.</t>
  </si>
  <si>
    <t>Bis dann, Leonard.</t>
  </si>
  <si>
    <t>Finde ich gut.</t>
  </si>
  <si>
    <t>(INDISCHE MUSIK ERTÖNT IM FERNSEHEN)</t>
  </si>
  <si>
    <t>– Das ist ein sehr altes Gebäude. – 60 Jahre. War mal 'ne Uhrenfabrik.</t>
  </si>
  <si>
    <t>– Oje. – Was?</t>
  </si>
  <si>
    <t>Hast du denn keine Angst wegen des Restradiums von den Zifferblättern?</t>
  </si>
  <si>
    <t>Bisher keineswegs.</t>
  </si>
  <si>
    <t>Ach, zu dumm, dass ich meinen Geigerzähler nicht eingepackt habe.</t>
  </si>
  <si>
    <t>Er lag auf meinem Bett, aber ich hab ihn liegen lassen.</t>
  </si>
  <si>
    <t>Wenn du dich bei mir nicht wohlfühlst, Sheldon...</t>
  </si>
  <si>
    <t>Doch, ich hab ihn eingepackt. Das war ein Witz.</t>
  </si>
  <si>
    <t>Ich hab damit eindeutig die Gesprächserwartung durchkreuzt.</t>
  </si>
  <si>
    <t>Ich glaube, das bezeichnet man als unerwartete Wendung.</t>
  </si>
  <si>
    <t>Na super.</t>
  </si>
  <si>
    <t>– Ist die Frau da Aishwarya Rai? – Ja, sie ist eine brillante Schauspielerin.</t>
  </si>
  <si>
    <t>Ich würde sagen, sie ist die Billigkopie von Madhuri Dixit.</t>
  </si>
  <si>
    <t>Wie kannst du nur?</t>
  </si>
  <si>
    <t>Aishwarya Rai ist eine Göttin.</t>
  </si>
  <si>
    <t>Verglichen mit ihr, ist Madhuri Dixit eine lepröse Prostituierte.</t>
  </si>
  <si>
    <t>Entschuldige, ich wollte dich nicht beleidigen.</t>
  </si>
  <si>
    <t>Offenbar bist du mit dem indischen Film nicht so vertraut.</t>
  </si>
  <si>
    <t>(TÜRGLOCKE ERTÖNT)</t>
  </si>
  <si>
    <t>Wer ist da?</t>
  </si>
  <si>
    <t>RAJESH (MIT HOHER STIMME): Stripper–Telegramm.</t>
  </si>
  <si>
    <t>Hier. Deiner.</t>
  </si>
  <si>
    <t>Warum hast du ihn nicht in eine braune Papiertüte gesteckt und angezündet?</t>
  </si>
  <si>
    <t>Auf einer Luftmatratze hab ich ja noch nie geschlafen.</t>
  </si>
  <si>
    <t>Sie stützt den Lendenbereich überhaupt nicht.</t>
  </si>
  <si>
    <t>Möglicherweise liegst du ja besser auf einer Parkbank.</t>
  </si>
  <si>
    <t>Wie willst du eine Parkbank durch diese Tür kriegen?</t>
  </si>
  <si>
    <t>– Möchtest du vielleicht tauschen? – Nein, ist schon gut.</t>
  </si>
  <si>
    <t>Ich finde es total bequem, auf einer Hüpfburg zu schlafen.</t>
  </si>
  <si>
    <t>– Leg dich ins Bett, wir tauschen. – Na gut, aber nur, wenn du willst.</t>
  </si>
  <si>
    <t>Geh schon ins Bett.</t>
  </si>
  <si>
    <t>MRS. WOLOWITZ: Was ist denn da los? Rauft ihr Jungs euch etwa?</t>
  </si>
  <si>
    <t>Wir unterhalten uns nur, Ma.</t>
  </si>
  <si>
    <t>Wenn ihr nicht sofort Ruhe gebt,</t>
  </si>
  <si>
    <t>dann darf in Zukunft niemand mehr bei dir übernachten.</t>
  </si>
  <si>
    <t>Herrgott, Ma, ich bin 27 Jahre alt.</t>
  </si>
  <si>
    <t>Und zur Schule muss ich morgen auch nicht.</t>
  </si>
  <si>
    <t>– Ist es jetzt bequem? – Na ja...</t>
  </si>
  <si>
    <t>Das Poster mit Halle Berry ist ein bisschen nervig.</t>
  </si>
  <si>
    <t>Dann guck doch nicht hin.</t>
  </si>
  <si>
    <t>– Sie ist meine viertliebste Catwoman. – Ist nicht dein Ernst.</t>
  </si>
  <si>
    <t>Ja. Julie Newmar, Michelle Pfeiffer, Eartha Kitt und dann sie.</t>
  </si>
  <si>
    <t>– Was ist mit Lee Meriweather? – Oh, Lee Meriweather hab ich vergessen.</t>
  </si>
  <si>
    <t>Gut, dass das geklärt ist.</t>
  </si>
  <si>
    <t>Das bedeutet, Halle Berry ist meine fünftliebste Catwoman.</t>
  </si>
  <si>
    <t>Erst Julie Newmar, Michelle Pfeiffer, Eartha Kitt, Lee Meriweather...</t>
  </si>
  <si>
    <t>– Bitte, ich flehe dich an. Schlaf jetzt. – Ich versuche es ja. Ich zähle Catwomen.</t>
  </si>
  <si>
    <t>In den X–Men–Filmen war sie als Mutantin aber gut.</t>
  </si>
  <si>
    <t>Womit habe ich das verdient?</t>
  </si>
  <si>
    <t>Sie ist nicht mein Favorit in X–Men. Der Reihe nach sind das Wolverine, Cyclops...</t>
  </si>
  <si>
    <t>Halt mal, ich hab Professor X vergessen. Professor X, Wolverine, Cyclops, Iceman,</t>
  </si>
  <si>
    <t>dann Storm, Angel, Mystique... Nein, warte, Nightcrawler.</t>
  </si>
  <si>
    <t>Professor X, Nightcrawler, Wolverine, Cyclops, Iceman, dann Storm, Angel...</t>
  </si>
  <si>
    <t>LEONARD: Ich komme ja schon.</t>
  </si>
  <si>
    <t>Hey.</t>
  </si>
  <si>
    <t>Da ist er ja. Mein alter, bester, bester Kumpel.</t>
  </si>
  <si>
    <t>– Was ist mit ihm? – Koothrappali hat ihn bei mir abgeladen.</t>
  </si>
  <si>
    <t>Er konnte nicht einschlafen. Da hab ich ihm ein Glas warme Milch gegeben</t>
  </si>
  <si>
    <t>mit einer Handvoll Valium von meiner Mom drin.</t>
  </si>
  <si>
    <t>Aber er hält nicht die Klappe. Also, hier, deiner.</t>
  </si>
  <si>
    <t>Ich bin wieder da.</t>
  </si>
  <si>
    <t>– Warum wolltest du eigentlich weg? – Das kann ich dir nicht sagen.</t>
  </si>
  <si>
    <t>– Wieso nicht? – Ich hab es Penny versprochen.</t>
  </si>
  <si>
    <t>Was hast du Penny versprochen?</t>
  </si>
  <si>
    <t>Dass ich dir das Geheimnis nicht verrate.</t>
  </si>
  <si>
    <t>Psst!</t>
  </si>
  <si>
    <t>Was heißt das? Was für ein Geheimnis?</t>
  </si>
  <si>
    <t>Mom qualmt eine im Auto.</t>
  </si>
  <si>
    <t>Für Jesus ist das ok, aber Dad dürfen wir das nicht sagen.</t>
  </si>
  <si>
    <t>Nicht dieses Geheimnis. Das andere Geheimnis.</t>
  </si>
  <si>
    <t>– (MIT TIEFER STIMME) Ich bin Batman. – Verdammt, Sheldon.</t>
  </si>
  <si>
    <t>Du hast gesagt, Penny hat dir ein Geheimnis verraten. Welches Geheimnis?</t>
  </si>
  <si>
    <t>(MIT NORMALER STIMME) Ok. Ich verrate es dir,</t>
  </si>
  <si>
    <t>aber du darfst es nicht Leonard sagen.</t>
  </si>
  <si>
    <t>Ich verspreche es.</t>
  </si>
  <si>
    <t>Penny hat wegen ihres Abschlusses am Gemeinde–College gelogen,</t>
  </si>
  <si>
    <t>weil sie Angst hat, dass sie für Leonard nicht intelligent genug ist.</t>
  </si>
  <si>
    <t>Es ist also nichts, was ich getan habe, sondern ihr Problem?</t>
  </si>
  <si>
    <t>Ich habe Milch getrunken, die eigenartig war.</t>
  </si>
  <si>
    <t>Penny denkt, ich sei zu intelligent für sie? Das ist lächerlich.</t>
  </si>
  <si>
    <t>Das meiste in deinen Arbeiten stammt von anderen.</t>
  </si>
  <si>
    <t>Und das ist kein Geheimnis. Keine Sorge.</t>
  </si>
  <si>
    <t>Das weiß jeder.</t>
  </si>
  <si>
    <t>– Hi. – Ja, hi. Hör mal.</t>
  </si>
  <si>
    <t>Ich weiß, was dein Problem zwischen dir und mir ist. Und ich hab die Lösung.</t>
  </si>
  <si>
    <t>Ich weiß nicht, was du meinst.</t>
  </si>
  <si>
    <t>Zunächst möchte ich dir sagen, dass Sheldon nichts dafür kann.</t>
  </si>
  <si>
    <t>Er hat sich sehr angestrengt und hätte Howard</t>
  </si>
  <si>
    <t>ihn nicht unter Drogen gesetzt, hätte er dein Geheimnis nie verraten.</t>
  </si>
  <si>
    <t>– Er hat es dir verraten? – Ja, aber das ist in Ordnung.</t>
  </si>
  <si>
    <t>Jetzt wissen wir, wo das Problem liegt, und dafür gibt es 'ne Lösung.</t>
  </si>
  <si>
    <t>Pasadena City College?</t>
  </si>
  <si>
    <t>Ein Plätzchen der Freude, ein Plätzchen des Wissens.</t>
  </si>
  <si>
    <t>Schau, der Mann hier spielt Hacky–Sack und sie wird mal Rechtsanwaltsgehilfin.</t>
  </si>
  <si>
    <t>Oh, ich verstehe. Du meinst, Doktor Leonard Hofstädter</t>
  </si>
  <si>
    <t>kann nicht ausgehen mit einem Mädchen ohne tollen College–Abschluss.</t>
  </si>
  <si>
    <t>Ach, so toll ist es gar nicht. Es ist nur ein städtisches College.</t>
  </si>
  <si>
    <t>Aber ich muss einen Abschluss haben, um mit dir ausgehen zu können?</t>
  </si>
  <si>
    <t>Das spielt keine Rolle für mich.</t>
  </si>
  <si>
    <t>Es stört dich nicht, dass ich nicht intelligent bin?</t>
  </si>
  <si>
    <t>Aber natürlich nicht.</t>
  </si>
  <si>
    <t>Ok. Diesmal weiß ich, was schieflief.</t>
  </si>
  <si>
    <t>Ach, ihr könnt mich 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</si>
</sst>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quot;seed = &quot;\ General"/>
    <numFmt numFmtId="165" formatCode="&quot;n = &quot;\ General"/>
    <numFmt numFmtId="166" formatCode="0.00000000000000000"/>
    <numFmt numFmtId="167" formatCode="_(* #,##0_);_(* \(#,##0\);_(* &quot;-&quot;??_);_(@_)"/>
    <numFmt numFmtId="168" formatCode="0.000000000"/>
  </numFmts>
  <fonts count="8" x14ac:knownFonts="1">
    <font>
      <sz val="11"/>
      <color theme="1"/>
      <name val="Calibri"/>
      <family val="2"/>
      <scheme val="minor"/>
    </font>
    <font>
      <sz val="11"/>
      <color theme="1"/>
      <name val="Calibri"/>
      <family val="2"/>
      <scheme val="minor"/>
    </font>
    <font>
      <u/>
      <sz val="11"/>
      <color theme="10"/>
      <name val="Calibri"/>
      <family val="2"/>
      <scheme val="minor"/>
    </font>
    <font>
      <b/>
      <sz val="9"/>
      <color indexed="81"/>
      <name val="Tahoma"/>
      <family val="2"/>
    </font>
    <font>
      <sz val="9"/>
      <color indexed="81"/>
      <name val="Tahoma"/>
      <family val="2"/>
    </font>
    <font>
      <sz val="8"/>
      <name val="Calibri"/>
      <family val="2"/>
      <scheme val="minor"/>
    </font>
    <font>
      <sz val="11"/>
      <color rgb="FFFF0000"/>
      <name val="Calibri"/>
      <family val="2"/>
      <scheme val="minor"/>
    </font>
    <font>
      <sz val="11"/>
      <color rgb="FF00B050"/>
      <name val="Calibri"/>
      <family val="2"/>
      <scheme val="minor"/>
    </font>
  </fonts>
  <fills count="6">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6">
    <xf numFmtId="0" fontId="0" fillId="0" borderId="0"/>
    <xf numFmtId="164" fontId="1" fillId="0" borderId="0"/>
    <xf numFmtId="165" fontId="1" fillId="0" borderId="0"/>
    <xf numFmtId="0" fontId="2" fillId="0"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32">
    <xf numFmtId="0" fontId="0" fillId="0" borderId="0" xfId="0"/>
    <xf numFmtId="0" fontId="0" fillId="2" borderId="0" xfId="0" applyFill="1"/>
    <xf numFmtId="0" fontId="2" fillId="3" borderId="0" xfId="3" applyFill="1"/>
    <xf numFmtId="4" fontId="0" fillId="0" borderId="0" xfId="0" applyNumberFormat="1"/>
    <xf numFmtId="3" fontId="0" fillId="0" borderId="0" xfId="0" applyNumberFormat="1"/>
    <xf numFmtId="10" fontId="0" fillId="0" borderId="0" xfId="4" applyNumberFormat="1"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66" fontId="0" fillId="0" borderId="0" xfId="0" applyNumberFormat="1"/>
    <xf numFmtId="167" fontId="0" fillId="0" borderId="0" xfId="5" applyNumberFormat="1" applyFont="1"/>
    <xf numFmtId="43" fontId="0" fillId="0" borderId="0" xfId="0" applyNumberFormat="1"/>
    <xf numFmtId="2" fontId="0" fillId="0" borderId="0" xfId="0" applyNumberFormat="1"/>
    <xf numFmtId="0" fontId="0" fillId="4" borderId="0" xfId="0" applyFill="1"/>
    <xf numFmtId="0" fontId="0" fillId="4" borderId="4" xfId="0" applyFill="1" applyBorder="1"/>
    <xf numFmtId="0" fontId="0" fillId="4" borderId="5" xfId="0" applyFill="1" applyBorder="1"/>
    <xf numFmtId="168" fontId="0" fillId="0" borderId="0" xfId="0" applyNumberFormat="1"/>
    <xf numFmtId="0" fontId="0" fillId="5" borderId="0" xfId="0" applyFill="1"/>
    <xf numFmtId="0" fontId="0" fillId="0" borderId="0" xfId="0" applyAlignment="1">
      <alignment wrapText="1"/>
    </xf>
    <xf numFmtId="0" fontId="0" fillId="0" borderId="0" xfId="0" quotePrefix="1"/>
    <xf numFmtId="0" fontId="6" fillId="0" borderId="0" xfId="0" applyFont="1"/>
    <xf numFmtId="0" fontId="7" fillId="0" borderId="0" xfId="0" applyFont="1"/>
    <xf numFmtId="0" fontId="7" fillId="0" borderId="0" xfId="0" quotePrefix="1" applyFont="1"/>
    <xf numFmtId="0" fontId="0" fillId="4" borderId="0" xfId="0" applyFill="1" applyAlignment="1">
      <alignment wrapText="1"/>
    </xf>
    <xf numFmtId="47" fontId="0" fillId="0" borderId="0" xfId="0" applyNumberFormat="1"/>
    <xf numFmtId="21" fontId="0" fillId="0" borderId="0" xfId="0" applyNumberFormat="1"/>
    <xf numFmtId="0" fontId="0" fillId="2" borderId="0" xfId="0" applyFill="1" applyAlignment="1">
      <alignment wrapText="1"/>
    </xf>
  </cellXfs>
  <cellStyles count="6">
    <cellStyle name="Comma" xfId="5" builtinId="3"/>
    <cellStyle name="Hyperlink" xfId="3" builtinId="8"/>
    <cellStyle name="n" xfId="2" xr:uid="{7FBBF2BB-1368-412F-9496-4DCF337A8A3E}"/>
    <cellStyle name="Normal" xfId="0" builtinId="0"/>
    <cellStyle name="Percent" xfId="4" builtinId="5"/>
    <cellStyle name="Seed" xfId="1" xr:uid="{4A0D491D-CCDF-4BB5-8111-CF9096B52C44}"/>
  </cellStyles>
  <dxfs count="3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FF66FF"/>
      <color rgb="FF1E0000"/>
      <color rgb="FFFFCC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205740</xdr:colOff>
      <xdr:row>4</xdr:row>
      <xdr:rowOff>15240</xdr:rowOff>
    </xdr:from>
    <xdr:to>
      <xdr:col>7</xdr:col>
      <xdr:colOff>40757</xdr:colOff>
      <xdr:row>13</xdr:row>
      <xdr:rowOff>166462</xdr:rowOff>
    </xdr:to>
    <xdr:pic>
      <xdr:nvPicPr>
        <xdr:cNvPr id="2" name="Picture 1">
          <a:extLst>
            <a:ext uri="{FF2B5EF4-FFF2-40B4-BE49-F238E27FC236}">
              <a16:creationId xmlns:a16="http://schemas.microsoft.com/office/drawing/2014/main" id="{33F99724-9204-80DA-8420-6395B4927DEB}"/>
            </a:ext>
          </a:extLst>
        </xdr:cNvPr>
        <xdr:cNvPicPr>
          <a:picLocks noChangeAspect="1"/>
        </xdr:cNvPicPr>
      </xdr:nvPicPr>
      <xdr:blipFill>
        <a:blip xmlns:r="http://schemas.openxmlformats.org/officeDocument/2006/relationships" r:embed="rId1"/>
        <a:stretch>
          <a:fillRect/>
        </a:stretch>
      </xdr:blipFill>
      <xdr:spPr>
        <a:xfrm>
          <a:off x="2034540" y="746760"/>
          <a:ext cx="2273417" cy="17971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xdr:colOff>
      <xdr:row>6</xdr:row>
      <xdr:rowOff>0</xdr:rowOff>
    </xdr:from>
    <xdr:to>
      <xdr:col>7</xdr:col>
      <xdr:colOff>151076</xdr:colOff>
      <xdr:row>10</xdr:row>
      <xdr:rowOff>71562</xdr:rowOff>
    </xdr:to>
    <xdr:sp macro="[0]!S_RemoveLambdaDuplicates" textlink="">
      <xdr:nvSpPr>
        <xdr:cNvPr id="2" name="Rectangle01">
          <a:extLst>
            <a:ext uri="{FF2B5EF4-FFF2-40B4-BE49-F238E27FC236}">
              <a16:creationId xmlns:a16="http://schemas.microsoft.com/office/drawing/2014/main" id="{E35CA17E-D5B2-4A58-A8C5-740EA4374886}"/>
            </a:ext>
          </a:extLst>
        </xdr:cNvPr>
        <xdr:cNvSpPr/>
      </xdr:nvSpPr>
      <xdr:spPr>
        <a:xfrm>
          <a:off x="2971801" y="1097280"/>
          <a:ext cx="1979875" cy="80308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FFC000"/>
              </a:solidFill>
            </a:rPr>
            <a:t>Remove Lambda</a:t>
          </a:r>
        </a:p>
      </xdr:txBody>
    </xdr:sp>
    <xdr:clientData/>
  </xdr:twoCellAnchor>
  <xdr:twoCellAnchor>
    <xdr:from>
      <xdr:col>4</xdr:col>
      <xdr:colOff>0</xdr:colOff>
      <xdr:row>12</xdr:row>
      <xdr:rowOff>71562</xdr:rowOff>
    </xdr:from>
    <xdr:to>
      <xdr:col>7</xdr:col>
      <xdr:colOff>151075</xdr:colOff>
      <xdr:row>16</xdr:row>
      <xdr:rowOff>143124</xdr:rowOff>
    </xdr:to>
    <xdr:sp macro="" textlink="">
      <xdr:nvSpPr>
        <xdr:cNvPr id="3" name="Rectangle01">
          <a:extLst>
            <a:ext uri="{FF2B5EF4-FFF2-40B4-BE49-F238E27FC236}">
              <a16:creationId xmlns:a16="http://schemas.microsoft.com/office/drawing/2014/main" id="{4CA4CA7C-DEFD-4CAE-B72C-E7C1B51352DE}"/>
            </a:ext>
          </a:extLst>
        </xdr:cNvPr>
        <xdr:cNvSpPr/>
      </xdr:nvSpPr>
      <xdr:spPr>
        <a:xfrm>
          <a:off x="2971800" y="2266122"/>
          <a:ext cx="1979875" cy="80308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FFC000"/>
              </a:solidFill>
            </a:rPr>
            <a:t>Copy VBA Code</a:t>
          </a:r>
        </a:p>
      </xdr:txBody>
    </xdr:sp>
    <xdr:clientData/>
  </xdr:twoCellAnchor>
  <xdr:twoCellAnchor>
    <xdr:from>
      <xdr:col>8</xdr:col>
      <xdr:colOff>286248</xdr:colOff>
      <xdr:row>6</xdr:row>
      <xdr:rowOff>79513</xdr:rowOff>
    </xdr:from>
    <xdr:to>
      <xdr:col>11</xdr:col>
      <xdr:colOff>437323</xdr:colOff>
      <xdr:row>10</xdr:row>
      <xdr:rowOff>151075</xdr:rowOff>
    </xdr:to>
    <xdr:sp macro="[0]!S_VocabTemplate" textlink="">
      <xdr:nvSpPr>
        <xdr:cNvPr id="4" name="Rectangle01">
          <a:extLst>
            <a:ext uri="{FF2B5EF4-FFF2-40B4-BE49-F238E27FC236}">
              <a16:creationId xmlns:a16="http://schemas.microsoft.com/office/drawing/2014/main" id="{59B8A7EE-E749-4EB6-B8AB-75952E4B5AEE}"/>
            </a:ext>
          </a:extLst>
        </xdr:cNvPr>
        <xdr:cNvSpPr/>
      </xdr:nvSpPr>
      <xdr:spPr>
        <a:xfrm>
          <a:off x="5696448" y="1176793"/>
          <a:ext cx="1979875" cy="80308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2"/>
              </a:solidFill>
            </a:rPr>
            <a:t>Vocab Template</a:t>
          </a:r>
        </a:p>
      </xdr:txBody>
    </xdr:sp>
    <xdr:clientData/>
  </xdr:twoCellAnchor>
  <xdr:twoCellAnchor editAs="oneCell">
    <xdr:from>
      <xdr:col>8</xdr:col>
      <xdr:colOff>47708</xdr:colOff>
      <xdr:row>14</xdr:row>
      <xdr:rowOff>111319</xdr:rowOff>
    </xdr:from>
    <xdr:to>
      <xdr:col>15</xdr:col>
      <xdr:colOff>169627</xdr:colOff>
      <xdr:row>28</xdr:row>
      <xdr:rowOff>153945</xdr:rowOff>
    </xdr:to>
    <xdr:pic>
      <xdr:nvPicPr>
        <xdr:cNvPr id="5" name="Picture 4" descr="A screenshot of a computer program&#10;&#10;Description automatically generated">
          <a:extLst>
            <a:ext uri="{FF2B5EF4-FFF2-40B4-BE49-F238E27FC236}">
              <a16:creationId xmlns:a16="http://schemas.microsoft.com/office/drawing/2014/main" id="{093AC818-B4A6-4DEB-AF4F-4BCB2E815BCC}"/>
            </a:ext>
          </a:extLst>
        </xdr:cNvPr>
        <xdr:cNvPicPr>
          <a:picLocks noChangeAspect="1"/>
        </xdr:cNvPicPr>
      </xdr:nvPicPr>
      <xdr:blipFill>
        <a:blip xmlns:r="http://schemas.openxmlformats.org/officeDocument/2006/relationships" r:embed="rId1"/>
        <a:stretch>
          <a:fillRect/>
        </a:stretch>
      </xdr:blipFill>
      <xdr:spPr>
        <a:xfrm>
          <a:off x="5457908" y="2671639"/>
          <a:ext cx="4389119" cy="2602946"/>
        </a:xfrm>
        <a:prstGeom prst="rect">
          <a:avLst/>
        </a:prstGeom>
      </xdr:spPr>
    </xdr:pic>
    <xdr:clientData/>
  </xdr:twoCellAnchor>
  <xdr:twoCellAnchor>
    <xdr:from>
      <xdr:col>16</xdr:col>
      <xdr:colOff>190168</xdr:colOff>
      <xdr:row>14</xdr:row>
      <xdr:rowOff>138049</xdr:rowOff>
    </xdr:from>
    <xdr:to>
      <xdr:col>18</xdr:col>
      <xdr:colOff>388288</xdr:colOff>
      <xdr:row>18</xdr:row>
      <xdr:rowOff>176481</xdr:rowOff>
    </xdr:to>
    <xdr:sp macro="" textlink="">
      <xdr:nvSpPr>
        <xdr:cNvPr id="6" name="Rectangle: Diagonal Corners Snipped 5">
          <a:extLst>
            <a:ext uri="{FF2B5EF4-FFF2-40B4-BE49-F238E27FC236}">
              <a16:creationId xmlns:a16="http://schemas.microsoft.com/office/drawing/2014/main" id="{38D7B387-6E29-4A1C-A85B-2AD8D32EB151}"/>
            </a:ext>
          </a:extLst>
        </xdr:cNvPr>
        <xdr:cNvSpPr/>
      </xdr:nvSpPr>
      <xdr:spPr>
        <a:xfrm>
          <a:off x="10477168" y="2698369"/>
          <a:ext cx="1417320" cy="769952"/>
        </a:xfrm>
        <a:prstGeom prst="snip2Diag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a:solidFill>
                <a:sysClr val="windowText" lastClr="000000"/>
              </a:solidFill>
            </a:rPr>
            <a:t>Delete</a:t>
          </a:r>
          <a:r>
            <a:rPr lang="en-US" sz="1100" baseline="0">
              <a:solidFill>
                <a:sysClr val="windowText" lastClr="000000"/>
              </a:solidFill>
            </a:rPr>
            <a:t> All sheets</a:t>
          </a:r>
          <a:endParaRPr lang="en-US" sz="110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eng2020\AppData\Roaming\Microsoft\AddIns\VBA%20Dear%20Dev.xlam" TargetMode="External"/><Relationship Id="rId1" Type="http://schemas.openxmlformats.org/officeDocument/2006/relationships/externalLinkPath" Target="file:///C:\Users\Heng2020\AppData\Roaming\Microsoft\AddIns\VBA%20Dear%20Dev.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unc"/>
      <sheetName val="Link"/>
      <sheetName val="Next"/>
      <sheetName val="Version"/>
      <sheetName val="Vocab1"/>
      <sheetName val="Button"/>
      <sheetName val="Range"/>
      <sheetName val="sheet1"/>
      <sheetName val="Info"/>
      <sheetName val="gde_ods_vw"/>
      <sheetName val="Test"/>
      <sheetName val="Sub1"/>
      <sheetName val="Test1"/>
      <sheetName val="DataOri"/>
      <sheetName val="Data1"/>
      <sheetName val="Data2"/>
      <sheetName val="Sheet2"/>
      <sheetName val="VBA Dear Dev"/>
    </sheetNames>
    <definedNames>
      <definedName name="M_ChangeKeyVB"/>
      <definedName name="R_srand"/>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7856E9-27E6-4D3D-B6CB-F6832A650FD8}" name="Table1" displayName="Table1" ref="A2:D281" totalsRowShown="0">
  <autoFilter ref="A2:D281" xr:uid="{C27856E9-27E6-4D3D-B6CB-F6832A650FD8}">
    <filterColumn colId="0">
      <filters>
        <filter val="Season 7"/>
      </filters>
    </filterColumn>
  </autoFilter>
  <tableColumns count="4">
    <tableColumn id="1" xr3:uid="{3A757C20-13AC-445B-B23E-0A434A65F867}" name="Season">
      <calculatedColumnFormula array="1">"Season " &amp; _xlfn.NUMBERVALUE(St_TextBetween(B3,"S","E"))</calculatedColumnFormula>
    </tableColumn>
    <tableColumn id="2" xr3:uid="{AAA65047-EAC4-44B4-B0C4-3AB804AEC0B4}" name="Episodes"/>
    <tableColumn id="3" xr3:uid="{8D952722-F085-4EE0-9FF9-D0B43A82F62C}" name="Issues" dataDxfId="34"/>
    <tableColumn id="4" xr3:uid="{65A3DC43-8DEB-44D7-9E5E-7CEABCFBAAE4}" name="Issues_group"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30BAFA-1DE9-41C6-A0CA-B539A038F061}" name="Table13" displayName="Table13" ref="G2:J281" totalsRowShown="0">
  <autoFilter ref="G2:J281" xr:uid="{5530BAFA-1DE9-41C6-A0CA-B539A038F061}"/>
  <tableColumns count="4">
    <tableColumn id="1" xr3:uid="{C196A87C-7F18-41BA-91B8-8D9C01B7BAB3}" name="Season">
      <calculatedColumnFormula array="1">"Season " &amp; _xlfn.NUMBERVALUE(St_TextBetween(H3,"S","E"))</calculatedColumnFormula>
    </tableColumn>
    <tableColumn id="2" xr3:uid="{EF44E21B-1786-4C9A-B5F7-F4A57E3A6C99}" name="Episodes"/>
    <tableColumn id="3" xr3:uid="{97118AB2-0D88-4909-BB3D-E4424F0CF5BC}" name="Issues" dataDxfId="32"/>
    <tableColumn id="4" xr3:uid="{DF501142-5594-44B9-837A-66C668D363BD}" name="Issues_group"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63" row="1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7BA92E2-9D93-4EA2-96A5-DE3E8AF27620}">
  <we:reference id="wa200003696" version="1.1.0.0" store="en-US" storeType="OMEX"/>
  <we:alternateReferences>
    <we:reference id="WA200003696" version="1.1.0.0" store="WA200003696" storeType="OMEX"/>
  </we:alternateReferences>
  <we:properties>
    <we:property name="projectV0_1-56c6e055-265e-4713-816e-a646dbb708de" value="{&quot;kind&quot;:&quot;AFEJSONBlobNode&quot;,&quot;id&quot;:&quot;{F9AF9386-BEC9-4C74-A628-B2A97F12363B}&quot;}"/>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E74C9-B7A9-45E2-867E-ECF9DC903302}">
  <dimension ref="B4:T63"/>
  <sheetViews>
    <sheetView zoomScaleNormal="100" workbookViewId="0">
      <selection activeCell="I27" sqref="I27"/>
    </sheetView>
  </sheetViews>
  <sheetFormatPr defaultRowHeight="14.4" x14ac:dyDescent="0.3"/>
  <cols>
    <col min="2" max="2" width="14.44140625" customWidth="1"/>
    <col min="3" max="3" width="15.77734375" customWidth="1"/>
    <col min="4" max="4" width="14.109375" customWidth="1"/>
    <col min="5" max="5" width="15.5546875" customWidth="1"/>
    <col min="6" max="6" width="12" bestFit="1" customWidth="1"/>
    <col min="8" max="8" width="17.21875" customWidth="1"/>
    <col min="10" max="10" width="10.5546875" bestFit="1" customWidth="1"/>
    <col min="12" max="12" width="25.88671875" customWidth="1"/>
    <col min="13" max="13" width="21.44140625" customWidth="1"/>
    <col min="14" max="14" width="14.21875" customWidth="1"/>
    <col min="15" max="15" width="14.44140625" customWidth="1"/>
    <col min="18" max="18" width="15.6640625" bestFit="1" customWidth="1"/>
    <col min="19" max="19" width="20.21875" customWidth="1"/>
    <col min="20" max="20" width="14.21875" customWidth="1"/>
  </cols>
  <sheetData>
    <row r="4" spans="2:20" x14ac:dyDescent="0.3">
      <c r="R4" s="1" t="s">
        <v>20</v>
      </c>
      <c r="S4" t="s">
        <v>21</v>
      </c>
      <c r="T4" t="s">
        <v>10</v>
      </c>
    </row>
    <row r="5" spans="2:20" x14ac:dyDescent="0.3">
      <c r="R5" t="s">
        <v>1</v>
      </c>
      <c r="S5">
        <v>0.96</v>
      </c>
      <c r="T5" t="s">
        <v>11</v>
      </c>
    </row>
    <row r="6" spans="2:20" x14ac:dyDescent="0.3">
      <c r="R6" t="s">
        <v>12</v>
      </c>
      <c r="S6">
        <v>0.96</v>
      </c>
      <c r="T6" t="s">
        <v>11</v>
      </c>
    </row>
    <row r="7" spans="2:20" x14ac:dyDescent="0.3">
      <c r="R7" t="s">
        <v>14</v>
      </c>
      <c r="S7">
        <v>0.96</v>
      </c>
      <c r="T7" s="3" t="s">
        <v>11</v>
      </c>
    </row>
    <row r="8" spans="2:20" x14ac:dyDescent="0.3">
      <c r="R8" t="s">
        <v>15</v>
      </c>
      <c r="S8">
        <v>0.96</v>
      </c>
      <c r="T8" t="s">
        <v>16</v>
      </c>
    </row>
    <row r="9" spans="2:20" x14ac:dyDescent="0.3">
      <c r="R9" t="s">
        <v>13</v>
      </c>
      <c r="S9">
        <v>0.96132372404435396</v>
      </c>
      <c r="T9" t="s">
        <v>11</v>
      </c>
    </row>
    <row r="10" spans="2:20" x14ac:dyDescent="0.3">
      <c r="R10" t="s">
        <v>19</v>
      </c>
      <c r="S10">
        <v>0.96132399999999996</v>
      </c>
      <c r="T10" t="s">
        <v>16</v>
      </c>
    </row>
    <row r="11" spans="2:20" x14ac:dyDescent="0.3">
      <c r="R11" t="s">
        <v>17</v>
      </c>
      <c r="S11">
        <v>0.96132399999999996</v>
      </c>
      <c r="T11" t="s">
        <v>16</v>
      </c>
    </row>
    <row r="12" spans="2:20" x14ac:dyDescent="0.3">
      <c r="R12" t="s">
        <v>18</v>
      </c>
      <c r="S12">
        <v>0.95765760519683851</v>
      </c>
    </row>
    <row r="13" spans="2:20" x14ac:dyDescent="0.3">
      <c r="B13" t="s">
        <v>7</v>
      </c>
      <c r="C13" t="s">
        <v>6</v>
      </c>
      <c r="E13" t="s">
        <v>7</v>
      </c>
      <c r="F13" t="s">
        <v>6</v>
      </c>
    </row>
    <row r="14" spans="2:20" x14ac:dyDescent="0.3">
      <c r="B14">
        <v>9.0299999999999994</v>
      </c>
      <c r="C14">
        <v>8.42</v>
      </c>
      <c r="E14" cm="1">
        <f t="array" ref="E14">D_toSecond(B14)</f>
        <v>542.99999999999989</v>
      </c>
      <c r="F14" cm="1">
        <f t="array" ref="F14">D_toSecond(C14)</f>
        <v>522</v>
      </c>
      <c r="H14">
        <f>F14/E14</f>
        <v>0.96132596685082894</v>
      </c>
      <c r="K14" cm="1">
        <f t="array" ref="K14">INDEX(LINEST(F14:F15,E14:E15,FALSE),1)</f>
        <v>0.96125989311059867</v>
      </c>
    </row>
    <row r="15" spans="2:20" x14ac:dyDescent="0.3">
      <c r="B15">
        <v>9.27</v>
      </c>
      <c r="C15">
        <v>9.0500000000000007</v>
      </c>
      <c r="E15" cm="1">
        <f t="array" ref="E15">D_toSecond(B15)</f>
        <v>567</v>
      </c>
      <c r="F15" cm="1">
        <f t="array" ref="F15">D_toSecond(C15)</f>
        <v>545.00000000000011</v>
      </c>
      <c r="H15">
        <f>F15/E15</f>
        <v>0.96119929453262809</v>
      </c>
      <c r="K15" cm="1">
        <f t="array" ref="K15:L15">LINEST(F14:F15,E14:E15,TRUE)</f>
        <v>0.95833333333333315</v>
      </c>
      <c r="L15">
        <v>1.6250000000001137</v>
      </c>
    </row>
    <row r="16" spans="2:20" x14ac:dyDescent="0.3">
      <c r="B16">
        <f>E16/60</f>
        <v>9.6580733944954105</v>
      </c>
      <c r="C16">
        <v>9.17</v>
      </c>
      <c r="E16">
        <f>F16/H15</f>
        <v>579.48440366972466</v>
      </c>
      <c r="F16" cm="1">
        <f t="array" ref="F16">D_toSecond(C16)</f>
        <v>557</v>
      </c>
    </row>
    <row r="18" spans="2:19" x14ac:dyDescent="0.3">
      <c r="B18">
        <v>15.42</v>
      </c>
      <c r="E18" cm="1">
        <f t="array" ref="E18">D_toSecond(B18)</f>
        <v>942</v>
      </c>
      <c r="F18">
        <f>E18*H15</f>
        <v>905.44973544973561</v>
      </c>
    </row>
    <row r="19" spans="2:19" x14ac:dyDescent="0.3">
      <c r="M19" s="5"/>
    </row>
    <row r="20" spans="2:19" x14ac:dyDescent="0.3">
      <c r="C20">
        <f>F18/60</f>
        <v>15.09082892416226</v>
      </c>
      <c r="D20">
        <f>_xlfn.FLOOR.MATH(F18/60)</f>
        <v>15</v>
      </c>
      <c r="M20" s="14"/>
    </row>
    <row r="21" spans="2:19" x14ac:dyDescent="0.3">
      <c r="D21">
        <f>_xlfn.LET(_xlpm.second, F18, _xlfn.FLOOR.MATH(_xlpm.second/60)+(_xlpm.second/60 - _xlfn.FLOOR.MATH(_xlpm.second/60))*60*0.01)</f>
        <v>15.054497354497355</v>
      </c>
      <c r="S21" s="4"/>
    </row>
    <row r="22" spans="2:19" x14ac:dyDescent="0.3">
      <c r="B22">
        <f>(B16-9)*60</f>
        <v>39.484403669724628</v>
      </c>
      <c r="L22" s="22" t="s">
        <v>22</v>
      </c>
    </row>
    <row r="23" spans="2:19" x14ac:dyDescent="0.3">
      <c r="B23">
        <f>9+B22*0.01</f>
        <v>9.394844036697247</v>
      </c>
      <c r="L23" t="s">
        <v>8</v>
      </c>
      <c r="M23" t="s">
        <v>9</v>
      </c>
      <c r="N23" t="s">
        <v>10</v>
      </c>
    </row>
    <row r="24" spans="2:19" x14ac:dyDescent="0.3">
      <c r="B24">
        <f>9+B22*0.01</f>
        <v>9.394844036697247</v>
      </c>
      <c r="L24" t="s">
        <v>1</v>
      </c>
      <c r="M24" s="21" cm="1">
        <f t="array" ref="M24">INDEX(LINEST(F30:F34,E30:E34,FALSE),1)</f>
        <v>0.95960864345257801</v>
      </c>
      <c r="N24" t="s">
        <v>11</v>
      </c>
    </row>
    <row r="25" spans="2:19" x14ac:dyDescent="0.3">
      <c r="B25">
        <f>_xlfn.LET(_xlpm.second, E16, _xlfn.FLOOR.MATH(_xlpm.second/60)+(_xlpm.second/60 - _xlfn.FLOOR.MATH(_xlpm.second/60))*60*0.01)</f>
        <v>9.394844036697247</v>
      </c>
      <c r="L25" t="s">
        <v>12</v>
      </c>
      <c r="M25" s="21" cm="1">
        <f t="array" ref="M25">INDEX(LINEST(F35:F41,E35:E41,FALSE),1)</f>
        <v>0.95903619926980621</v>
      </c>
      <c r="N25" t="s">
        <v>11</v>
      </c>
    </row>
    <row r="26" spans="2:19" x14ac:dyDescent="0.3">
      <c r="L26" t="s">
        <v>13</v>
      </c>
      <c r="M26" s="21" cm="1">
        <f t="array" ref="M26">INDEX(LINEST(F42:F46,E42:E46,FALSE),1)</f>
        <v>0.96132372404435396</v>
      </c>
      <c r="N26" t="s">
        <v>11</v>
      </c>
    </row>
    <row r="27" spans="2:19" x14ac:dyDescent="0.3">
      <c r="L27" t="s">
        <v>18</v>
      </c>
      <c r="M27" s="21" cm="1">
        <f t="array" ref="M27">INDEX(LINEST(F47:F51,E47:E51,FALSE),1)</f>
        <v>0.95765760519683851</v>
      </c>
    </row>
    <row r="29" spans="2:19" x14ac:dyDescent="0.3">
      <c r="B29" t="s">
        <v>8</v>
      </c>
      <c r="C29" t="s">
        <v>5</v>
      </c>
      <c r="D29" t="s">
        <v>4</v>
      </c>
      <c r="E29" t="s">
        <v>3</v>
      </c>
      <c r="F29" t="s">
        <v>2</v>
      </c>
      <c r="M29" s="15"/>
    </row>
    <row r="30" spans="2:19" x14ac:dyDescent="0.3">
      <c r="B30" s="6" t="s">
        <v>1</v>
      </c>
      <c r="C30" s="6">
        <v>3.43</v>
      </c>
      <c r="D30" s="8">
        <v>3.34</v>
      </c>
      <c r="E30" s="7" cm="1">
        <f t="array" ref="E30">D_toSecond(C30)</f>
        <v>223</v>
      </c>
      <c r="F30" s="8" cm="1">
        <f t="array" ref="F30">D_toSecond(D30)</f>
        <v>214</v>
      </c>
      <c r="M30" s="16"/>
    </row>
    <row r="31" spans="2:19" x14ac:dyDescent="0.3">
      <c r="B31" s="9" t="s">
        <v>1</v>
      </c>
      <c r="C31" s="9">
        <v>4.01</v>
      </c>
      <c r="D31" s="10">
        <v>3.51</v>
      </c>
      <c r="E31" cm="1">
        <f t="array" ref="E31">D_toSecond(C31)</f>
        <v>241</v>
      </c>
      <c r="F31" s="10" cm="1">
        <f t="array" ref="F31">D_toSecond(D31)</f>
        <v>231</v>
      </c>
    </row>
    <row r="32" spans="2:19" x14ac:dyDescent="0.3">
      <c r="B32" s="9" t="s">
        <v>1</v>
      </c>
      <c r="C32" s="9">
        <v>8.5250000000000004</v>
      </c>
      <c r="D32" s="10">
        <v>8.32</v>
      </c>
      <c r="E32" cm="1">
        <f t="array" ref="E32">D_toSecond(C32)</f>
        <v>532.5</v>
      </c>
      <c r="F32" s="10" cm="1">
        <f t="array" ref="F32">D_toSecond(D32)</f>
        <v>512</v>
      </c>
    </row>
    <row r="33" spans="2:12" x14ac:dyDescent="0.3">
      <c r="B33" s="9" t="s">
        <v>1</v>
      </c>
      <c r="C33" s="9">
        <v>9.09</v>
      </c>
      <c r="D33" s="10">
        <v>8.4600000000000009</v>
      </c>
      <c r="E33" cm="1">
        <f t="array" ref="E33">D_toSecond(C33)</f>
        <v>549</v>
      </c>
      <c r="F33" s="10" cm="1">
        <f t="array" ref="F33">D_toSecond(D33)</f>
        <v>526.00000000000011</v>
      </c>
    </row>
    <row r="34" spans="2:12" x14ac:dyDescent="0.3">
      <c r="B34" s="11" t="s">
        <v>1</v>
      </c>
      <c r="C34" s="11">
        <v>16.05</v>
      </c>
      <c r="D34" s="13">
        <v>15.26</v>
      </c>
      <c r="E34" s="12" cm="1">
        <f t="array" ref="E34">D_toSecond(C34)</f>
        <v>965</v>
      </c>
      <c r="F34" s="13" cm="1">
        <f t="array" ref="F34">D_toSecond(D34)</f>
        <v>926</v>
      </c>
    </row>
    <row r="35" spans="2:12" x14ac:dyDescent="0.3">
      <c r="B35" s="6" t="s">
        <v>12</v>
      </c>
      <c r="C35" s="6">
        <v>1.33</v>
      </c>
      <c r="D35" s="8">
        <v>1.29</v>
      </c>
      <c r="E35" s="7" cm="1">
        <f t="array" ref="E35">D_toSecond(C35)</f>
        <v>93</v>
      </c>
      <c r="F35" s="8" cm="1">
        <f t="array" ref="F35">D_toSecond(D35)</f>
        <v>89</v>
      </c>
      <c r="I35" s="6" cm="1">
        <f t="array" ref="I35:J35">LINEST(F35:F37,E35:E37,FALSE)</f>
        <v>0.95731245263955556</v>
      </c>
      <c r="J35" s="8">
        <v>0</v>
      </c>
    </row>
    <row r="36" spans="2:12" x14ac:dyDescent="0.3">
      <c r="B36" s="9" t="s">
        <v>12</v>
      </c>
      <c r="C36" s="9">
        <v>2.21</v>
      </c>
      <c r="D36" s="10">
        <v>2.15</v>
      </c>
      <c r="E36" cm="1">
        <f t="array" ref="E36">D_toSecond(C36)</f>
        <v>141</v>
      </c>
      <c r="F36" s="10" cm="1">
        <f t="array" ref="F36">D_toSecond(D36)</f>
        <v>135</v>
      </c>
      <c r="I36" s="9"/>
      <c r="J36" s="10"/>
    </row>
    <row r="37" spans="2:12" x14ac:dyDescent="0.3">
      <c r="B37" s="9" t="s">
        <v>12</v>
      </c>
      <c r="C37" s="9">
        <v>2.44</v>
      </c>
      <c r="D37" s="10">
        <v>2.37</v>
      </c>
      <c r="E37" cm="1">
        <f t="array" ref="E37">D_toSecond(C37)</f>
        <v>164</v>
      </c>
      <c r="F37" s="10" cm="1">
        <f t="array" ref="F37">D_toSecond(D37)</f>
        <v>157</v>
      </c>
      <c r="I37" s="9"/>
      <c r="J37" s="10"/>
    </row>
    <row r="38" spans="2:12" x14ac:dyDescent="0.3">
      <c r="B38" s="9" t="s">
        <v>12</v>
      </c>
      <c r="C38" s="9">
        <v>11.45</v>
      </c>
      <c r="D38" s="10">
        <v>11.16</v>
      </c>
      <c r="E38" cm="1">
        <f t="array" ref="E38">D_toSecond(C38)</f>
        <v>705</v>
      </c>
      <c r="F38" s="10" cm="1">
        <f t="array" ref="F38">D_toSecond(D38)</f>
        <v>676</v>
      </c>
      <c r="I38" s="9" cm="1">
        <f t="array" ref="I38:J38">LINEST(F38,E38,FALSE)</f>
        <v>0.95886524822695041</v>
      </c>
      <c r="J38" s="10">
        <v>0</v>
      </c>
      <c r="L38">
        <f>_xlfn.LET(_xlpm.m,$M$26,_xlpm.x,E42,  _xlpm.m*_xlpm.x)</f>
        <v>84.596487715903152</v>
      </c>
    </row>
    <row r="39" spans="2:12" x14ac:dyDescent="0.3">
      <c r="B39" s="9" t="s">
        <v>12</v>
      </c>
      <c r="C39" s="9">
        <v>12.1</v>
      </c>
      <c r="D39" s="10">
        <v>11.4</v>
      </c>
      <c r="E39" cm="1">
        <f t="array" ref="E39">D_toSecond(C39)</f>
        <v>730</v>
      </c>
      <c r="F39" s="10" cm="1">
        <f t="array" ref="F39">D_toSecond(D39)</f>
        <v>700</v>
      </c>
      <c r="I39" s="9" cm="1">
        <f t="array" ref="I39:J39">LINEST(F39,E39,FALSE)</f>
        <v>0.95890410958904104</v>
      </c>
      <c r="J39" s="10">
        <v>0</v>
      </c>
      <c r="L39">
        <f>_xlfn.LET(_xlpm.m,$M$26,_xlpm.x,E43,  _xlpm.m*_xlpm.x)</f>
        <v>265.32534783624175</v>
      </c>
    </row>
    <row r="40" spans="2:12" x14ac:dyDescent="0.3">
      <c r="B40" s="9" t="s">
        <v>12</v>
      </c>
      <c r="C40" s="9">
        <v>17.329999999999998</v>
      </c>
      <c r="D40" s="10">
        <v>16.504999999999999</v>
      </c>
      <c r="E40" cm="1">
        <f t="array" ref="E40">D_toSecond(C40)</f>
        <v>1052.9999999999998</v>
      </c>
      <c r="F40" s="10" cm="1">
        <f t="array" ref="F40">D_toSecond(D40)</f>
        <v>1010.5</v>
      </c>
      <c r="I40" s="9" cm="1">
        <f t="array" ref="I40:J40">LINEST(F40,E40,FALSE)</f>
        <v>0.95963912630579318</v>
      </c>
      <c r="J40" s="10">
        <v>0</v>
      </c>
      <c r="L40">
        <f>_xlfn.LET(_xlpm.m,$M$26,_xlpm.x,E44,  _xlpm.m*_xlpm.x)</f>
        <v>472.97127222982203</v>
      </c>
    </row>
    <row r="41" spans="2:12" x14ac:dyDescent="0.3">
      <c r="B41" s="11" t="s">
        <v>12</v>
      </c>
      <c r="C41" s="11">
        <v>19.23</v>
      </c>
      <c r="D41" s="13">
        <v>18.350000000000001</v>
      </c>
      <c r="E41" s="12" cm="1">
        <f t="array" ref="E41">D_toSecond(C41)</f>
        <v>1163</v>
      </c>
      <c r="F41" s="13" cm="1">
        <f t="array" ref="F41">D_toSecond(D41)</f>
        <v>1115.0000000000002</v>
      </c>
      <c r="I41" s="11" cm="1">
        <f t="array" ref="I41:J41">LINEST(F41,E41,FALSE)</f>
        <v>0.95872742906276887</v>
      </c>
      <c r="J41" s="13">
        <v>0</v>
      </c>
      <c r="L41">
        <f>_xlfn.LET(_xlpm.m,$M$26,_xlpm.x,E45,  _xlpm.m*_xlpm.x)</f>
        <v>604.67262242389859</v>
      </c>
    </row>
    <row r="42" spans="2:12" x14ac:dyDescent="0.3">
      <c r="B42" s="6" t="s">
        <v>13</v>
      </c>
      <c r="C42" s="6">
        <v>1.28</v>
      </c>
      <c r="D42" s="8">
        <v>1.24</v>
      </c>
      <c r="E42" s="7" cm="1">
        <f t="array" ref="E42">D_toSecond(C42)</f>
        <v>88</v>
      </c>
      <c r="F42" s="8" cm="1">
        <f t="array" ref="F42">D_toSecond(D42)</f>
        <v>84</v>
      </c>
      <c r="I42" cm="1">
        <f t="array" ref="I42:J42">LINEST(F42,E42,FALSE)</f>
        <v>0.95454545454545459</v>
      </c>
      <c r="J42" s="17">
        <v>0</v>
      </c>
    </row>
    <row r="43" spans="2:12" x14ac:dyDescent="0.3">
      <c r="B43" s="9" t="s">
        <v>13</v>
      </c>
      <c r="C43" s="9">
        <v>4.3600000000000003</v>
      </c>
      <c r="D43" s="10">
        <v>4.26</v>
      </c>
      <c r="E43" cm="1">
        <f t="array" ref="E43">D_toSecond(C43)</f>
        <v>276.00000000000006</v>
      </c>
      <c r="F43" s="10" cm="1">
        <f t="array" ref="F43">D_toSecond(D43)</f>
        <v>266</v>
      </c>
      <c r="I43" cm="1">
        <f t="array" ref="I43:J43">LINEST(F43,E43,FALSE)</f>
        <v>0.96376811594202882</v>
      </c>
      <c r="J43" s="17">
        <v>0</v>
      </c>
    </row>
    <row r="44" spans="2:12" x14ac:dyDescent="0.3">
      <c r="B44" s="9" t="s">
        <v>13</v>
      </c>
      <c r="C44" s="9">
        <v>8.1199999999999992</v>
      </c>
      <c r="D44" s="10">
        <v>7.53</v>
      </c>
      <c r="E44" cm="1">
        <f t="array" ref="E44">D_toSecond(C44)</f>
        <v>491.99999999999989</v>
      </c>
      <c r="F44" s="10" cm="1">
        <f t="array" ref="F44">D_toSecond(D44)</f>
        <v>473</v>
      </c>
      <c r="I44" cm="1">
        <f t="array" ref="I44:J44">LINEST(F44,E44,FALSE)</f>
        <v>0.96138211382113847</v>
      </c>
      <c r="J44" s="17">
        <v>0</v>
      </c>
    </row>
    <row r="45" spans="2:12" x14ac:dyDescent="0.3">
      <c r="B45" s="9" t="s">
        <v>13</v>
      </c>
      <c r="C45" s="9">
        <v>10.29</v>
      </c>
      <c r="D45" s="10">
        <v>10.050000000000001</v>
      </c>
      <c r="E45" cm="1">
        <f t="array" ref="E45">D_toSecond(C45)</f>
        <v>629</v>
      </c>
      <c r="F45" s="10" cm="1">
        <f t="array" ref="F45">D_toSecond(D45)</f>
        <v>605.00000000000011</v>
      </c>
      <c r="I45" cm="1">
        <f t="array" ref="I45:J45">LINEST(F45,E45,FALSE)</f>
        <v>0.96184419713831493</v>
      </c>
      <c r="J45" s="17">
        <v>0</v>
      </c>
    </row>
    <row r="46" spans="2:12" x14ac:dyDescent="0.3">
      <c r="B46" s="11" t="s">
        <v>13</v>
      </c>
      <c r="C46" s="11">
        <v>15.47</v>
      </c>
      <c r="D46" s="13">
        <v>15.1</v>
      </c>
      <c r="E46" s="12" cm="1">
        <f t="array" ref="E46">D_toSecond(C46)</f>
        <v>947</v>
      </c>
      <c r="F46" s="13" cm="1">
        <f t="array" ref="F46">D_toSecond(D46)</f>
        <v>910</v>
      </c>
      <c r="I46" cm="1">
        <f t="array" ref="I46:J46">LINEST(F46,E46,FALSE)</f>
        <v>0.96092925026399156</v>
      </c>
      <c r="J46" s="17">
        <v>0</v>
      </c>
    </row>
    <row r="47" spans="2:12" x14ac:dyDescent="0.3">
      <c r="B47" s="9" t="s">
        <v>18</v>
      </c>
      <c r="C47" s="9">
        <v>0.44</v>
      </c>
      <c r="D47" s="10">
        <v>0.43</v>
      </c>
      <c r="E47" cm="1">
        <f t="array" ref="E47">D_toSecond(C47)</f>
        <v>44</v>
      </c>
      <c r="F47" cm="1">
        <f t="array" ref="F47">D_toSecond(D47)</f>
        <v>43</v>
      </c>
      <c r="I47" cm="1">
        <f t="array" ref="I47:J47">LINEST(F47,E47,FALSE)</f>
        <v>0.97727272727272729</v>
      </c>
      <c r="J47">
        <v>0</v>
      </c>
    </row>
    <row r="48" spans="2:12" x14ac:dyDescent="0.3">
      <c r="B48" t="s">
        <v>18</v>
      </c>
      <c r="C48" s="9">
        <v>3</v>
      </c>
      <c r="D48" s="10">
        <v>2.52</v>
      </c>
      <c r="E48" cm="1">
        <f t="array" ref="E48">D_toSecond(C48)</f>
        <v>180</v>
      </c>
      <c r="F48" cm="1">
        <f t="array" ref="F48">D_toSecond(D48)</f>
        <v>172</v>
      </c>
      <c r="I48" cm="1">
        <f t="array" ref="I48:J48">LINEST(F48,E48,FALSE)</f>
        <v>0.9555555555555556</v>
      </c>
      <c r="J48">
        <v>0</v>
      </c>
    </row>
    <row r="49" spans="2:10" x14ac:dyDescent="0.3">
      <c r="B49" t="s">
        <v>18</v>
      </c>
      <c r="C49" s="9">
        <v>5.0199999999999996</v>
      </c>
      <c r="D49" s="10">
        <v>4.5</v>
      </c>
      <c r="E49" cm="1">
        <f t="array" ref="E49">D_toSecond(C49)</f>
        <v>301.99999999999994</v>
      </c>
      <c r="F49" cm="1">
        <f t="array" ref="F49">D_toSecond(D49)</f>
        <v>290</v>
      </c>
      <c r="I49" cm="1">
        <f t="array" ref="I49:J49">LINEST(F49,E49,FALSE)</f>
        <v>0.96026490066225179</v>
      </c>
      <c r="J49">
        <v>0</v>
      </c>
    </row>
    <row r="50" spans="2:10" x14ac:dyDescent="0.3">
      <c r="B50" t="s">
        <v>18</v>
      </c>
      <c r="C50" s="9">
        <v>5.49</v>
      </c>
      <c r="D50" s="10">
        <v>5.34</v>
      </c>
      <c r="E50" cm="1">
        <f t="array" ref="E50">D_toSecond(C50)</f>
        <v>349</v>
      </c>
      <c r="F50" cm="1">
        <f t="array" ref="F50">D_toSecond(D50)</f>
        <v>334</v>
      </c>
      <c r="I50" cm="1">
        <f t="array" ref="I50:J50">LINEST(F50,E50,FALSE)</f>
        <v>0.95702005730659023</v>
      </c>
      <c r="J50">
        <v>0</v>
      </c>
    </row>
    <row r="51" spans="2:10" x14ac:dyDescent="0.3">
      <c r="B51" t="s">
        <v>18</v>
      </c>
      <c r="C51" s="9">
        <v>10.09</v>
      </c>
      <c r="D51" s="10">
        <v>9.43</v>
      </c>
      <c r="E51" cm="1">
        <f t="array" ref="E51">D_toSecond(C51)</f>
        <v>609</v>
      </c>
      <c r="F51" cm="1">
        <f t="array" ref="F51">D_toSecond(D51)</f>
        <v>583</v>
      </c>
      <c r="I51" cm="1">
        <f t="array" ref="I51:J51">LINEST(F51,E51,FALSE)</f>
        <v>0.95730706075533667</v>
      </c>
      <c r="J51">
        <v>0</v>
      </c>
    </row>
    <row r="52" spans="2:10" x14ac:dyDescent="0.3">
      <c r="B52" t="s">
        <v>18</v>
      </c>
      <c r="C52" s="9">
        <v>14.2</v>
      </c>
      <c r="D52" s="10">
        <v>13.45</v>
      </c>
      <c r="E52" cm="1">
        <f t="array" ref="E52">D_toSecond(C52)</f>
        <v>860</v>
      </c>
      <c r="F52" cm="1">
        <f t="array" ref="F52">D_toSecond(D52)</f>
        <v>825</v>
      </c>
      <c r="I52" cm="1">
        <f t="array" ref="I52:J52">LINEST(F52,E52,FALSE)</f>
        <v>0.95930232558139539</v>
      </c>
      <c r="J52">
        <v>0</v>
      </c>
    </row>
    <row r="53" spans="2:10" x14ac:dyDescent="0.3">
      <c r="B53" t="s">
        <v>18</v>
      </c>
      <c r="C53" s="9">
        <v>18.170000000000002</v>
      </c>
      <c r="D53" s="10">
        <v>17.3</v>
      </c>
      <c r="E53" cm="1">
        <f t="array" ref="E53">D_toSecond(C53)</f>
        <v>1097.0000000000002</v>
      </c>
      <c r="F53" cm="1">
        <f t="array" ref="F53">D_toSecond(D53)</f>
        <v>1050</v>
      </c>
      <c r="I53" cm="1">
        <f t="array" ref="I53:J53">LINEST(F53,E53,FALSE)</f>
        <v>0.95715587967183202</v>
      </c>
      <c r="J53">
        <v>0</v>
      </c>
    </row>
    <row r="54" spans="2:10" x14ac:dyDescent="0.3">
      <c r="B54" s="18" t="s">
        <v>18</v>
      </c>
      <c r="C54" s="19">
        <v>21</v>
      </c>
      <c r="D54" s="20">
        <v>20.8</v>
      </c>
      <c r="E54" s="18" cm="1">
        <f t="array" ref="E54">D_toSecond(C54)</f>
        <v>1260</v>
      </c>
      <c r="F54" s="18" cm="1">
        <f t="array" ref="F54">D_toSecond(D54)</f>
        <v>1280</v>
      </c>
      <c r="I54" cm="1">
        <f t="array" ref="I54:J54">LINEST(F54,E54,FALSE)</f>
        <v>1.0158730158730158</v>
      </c>
      <c r="J54">
        <v>0</v>
      </c>
    </row>
    <row r="55" spans="2:10" x14ac:dyDescent="0.3">
      <c r="E55" cm="1">
        <f t="array" ref="E55">D_toSecond(C55)</f>
        <v>0</v>
      </c>
      <c r="F55" cm="1">
        <f t="array" ref="F55">D_toSecond(D55)</f>
        <v>0</v>
      </c>
    </row>
    <row r="56" spans="2:10" x14ac:dyDescent="0.3">
      <c r="E56" cm="1">
        <f t="array" ref="E56">D_toSecond(C56)</f>
        <v>0</v>
      </c>
      <c r="F56" cm="1">
        <f t="array" ref="F56">D_toSecond(D56)</f>
        <v>0</v>
      </c>
    </row>
    <row r="57" spans="2:10" x14ac:dyDescent="0.3">
      <c r="E57" cm="1">
        <f t="array" ref="E57">D_toSecond(C57)</f>
        <v>0</v>
      </c>
      <c r="F57" cm="1">
        <f t="array" ref="F57">D_toSecond(D57)</f>
        <v>0</v>
      </c>
    </row>
    <row r="58" spans="2:10" x14ac:dyDescent="0.3">
      <c r="E58" cm="1">
        <f t="array" ref="E58">D_toSecond(C58)</f>
        <v>0</v>
      </c>
      <c r="F58" cm="1">
        <f t="array" ref="F58">D_toSecond(D58)</f>
        <v>0</v>
      </c>
    </row>
    <row r="59" spans="2:10" x14ac:dyDescent="0.3">
      <c r="E59" cm="1">
        <f t="array" ref="E59">D_toSecond(C59)</f>
        <v>0</v>
      </c>
      <c r="F59" cm="1">
        <f t="array" ref="F59">D_toSecond(D59)</f>
        <v>0</v>
      </c>
    </row>
    <row r="60" spans="2:10" x14ac:dyDescent="0.3">
      <c r="E60" cm="1">
        <f t="array" ref="E60">D_toSecond(C60)</f>
        <v>0</v>
      </c>
      <c r="F60" cm="1">
        <f t="array" ref="F60">D_toSecond(D60)</f>
        <v>0</v>
      </c>
    </row>
    <row r="61" spans="2:10" x14ac:dyDescent="0.3">
      <c r="E61" cm="1">
        <f t="array" ref="E61">D_toSecond(C61)</f>
        <v>0</v>
      </c>
      <c r="F61" cm="1">
        <f t="array" ref="F61">D_toSecond(D61)</f>
        <v>0</v>
      </c>
    </row>
    <row r="62" spans="2:10" x14ac:dyDescent="0.3">
      <c r="E62" cm="1">
        <f t="array" ref="E62">D_toSecond(C62)</f>
        <v>0</v>
      </c>
      <c r="F62" cm="1">
        <f t="array" ref="F62">D_toSecond(D62)</f>
        <v>0</v>
      </c>
    </row>
    <row r="63" spans="2:10" x14ac:dyDescent="0.3">
      <c r="E63" cm="1">
        <f t="array" ref="E63">D_toSecond(C63)</f>
        <v>0</v>
      </c>
      <c r="F63" cm="1">
        <f t="array" ref="F63">D_toSecond(D63)</f>
        <v>0</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780A4-8F05-44E9-9840-C5CE24A445F7}">
  <dimension ref="A1:S281"/>
  <sheetViews>
    <sheetView workbookViewId="0">
      <selection activeCell="C290" sqref="C290"/>
    </sheetView>
  </sheetViews>
  <sheetFormatPr defaultRowHeight="14.4" x14ac:dyDescent="0.3"/>
  <cols>
    <col min="1" max="1" width="12.109375" customWidth="1"/>
    <col min="2" max="2" width="13.6640625" customWidth="1"/>
    <col min="3" max="4" width="28.33203125" style="23" customWidth="1"/>
    <col min="7" max="7" width="12.109375" customWidth="1"/>
    <col min="8" max="8" width="13.6640625" customWidth="1"/>
    <col min="9" max="10" width="28.33203125" style="23" customWidth="1"/>
    <col min="19" max="19" width="23.6640625" customWidth="1"/>
  </cols>
  <sheetData>
    <row r="1" spans="1:19" x14ac:dyDescent="0.3">
      <c r="A1" s="1" t="s">
        <v>339</v>
      </c>
      <c r="B1" s="1"/>
      <c r="G1" s="1" t="s">
        <v>338</v>
      </c>
    </row>
    <row r="2" spans="1:19" x14ac:dyDescent="0.3">
      <c r="A2" t="s">
        <v>182</v>
      </c>
      <c r="B2" t="s">
        <v>183</v>
      </c>
      <c r="C2" s="23" t="s">
        <v>184</v>
      </c>
      <c r="D2" s="23" t="s">
        <v>310</v>
      </c>
      <c r="G2" t="s">
        <v>182</v>
      </c>
      <c r="H2" t="s">
        <v>183</v>
      </c>
      <c r="I2" s="23" t="s">
        <v>184</v>
      </c>
      <c r="J2" s="23" t="s">
        <v>310</v>
      </c>
    </row>
    <row r="3" spans="1:19" hidden="1" x14ac:dyDescent="0.3">
      <c r="A3" t="str" cm="1">
        <f t="array" ref="A3">"Season " &amp; _xlfn.NUMBERVALUE(St_TextBetween(B3,"S","E"))</f>
        <v>Season 1</v>
      </c>
      <c r="B3" t="s">
        <v>169</v>
      </c>
      <c r="G3" t="str" cm="1">
        <f t="array" ref="G3">"Season " &amp; _xlfn.NUMBERVALUE(St_TextBetween(H3,"S","E"))</f>
        <v>Season 1</v>
      </c>
      <c r="H3" t="s">
        <v>169</v>
      </c>
      <c r="S3" s="18" t="s">
        <v>44</v>
      </c>
    </row>
    <row r="4" spans="1:19" hidden="1" x14ac:dyDescent="0.3">
      <c r="A4" t="str" cm="1">
        <f t="array" ref="A4">"Season " &amp; _xlfn.NUMBERVALUE(St_TextBetween(B4,"S","E"))</f>
        <v>Season 1</v>
      </c>
      <c r="B4" t="s">
        <v>1</v>
      </c>
      <c r="G4" t="str" cm="1">
        <f t="array" ref="G4">"Season " &amp; _xlfn.NUMBERVALUE(St_TextBetween(H4,"S","E"))</f>
        <v>Season 1</v>
      </c>
      <c r="H4" t="s">
        <v>1</v>
      </c>
      <c r="S4" s="18" t="s">
        <v>306</v>
      </c>
    </row>
    <row r="5" spans="1:19" hidden="1" x14ac:dyDescent="0.3">
      <c r="A5" t="str" cm="1">
        <f t="array" ref="A5">"Season " &amp; _xlfn.NUMBERVALUE(St_TextBetween(B5,"S","E"))</f>
        <v>Season 1</v>
      </c>
      <c r="B5" t="s">
        <v>170</v>
      </c>
      <c r="G5" t="str" cm="1">
        <f t="array" ref="G5">"Season " &amp; _xlfn.NUMBERVALUE(St_TextBetween(H5,"S","E"))</f>
        <v>Season 1</v>
      </c>
      <c r="H5" t="s">
        <v>170</v>
      </c>
      <c r="S5" s="18" t="s">
        <v>11</v>
      </c>
    </row>
    <row r="6" spans="1:19" hidden="1" x14ac:dyDescent="0.3">
      <c r="A6" t="str" cm="1">
        <f t="array" ref="A6">"Season " &amp; _xlfn.NUMBERVALUE(St_TextBetween(B6,"S","E"))</f>
        <v>Season 1</v>
      </c>
      <c r="B6" t="s">
        <v>171</v>
      </c>
      <c r="G6" t="str" cm="1">
        <f t="array" ref="G6">"Season " &amp; _xlfn.NUMBERVALUE(St_TextBetween(H6,"S","E"))</f>
        <v>Season 1</v>
      </c>
      <c r="H6" t="s">
        <v>171</v>
      </c>
      <c r="S6" s="18" t="s">
        <v>311</v>
      </c>
    </row>
    <row r="7" spans="1:19" hidden="1" x14ac:dyDescent="0.3">
      <c r="A7" t="str" cm="1">
        <f t="array" ref="A7">"Season " &amp; _xlfn.NUMBERVALUE(St_TextBetween(B7,"S","E"))</f>
        <v>Season 1</v>
      </c>
      <c r="B7" t="s">
        <v>172</v>
      </c>
      <c r="G7" t="str" cm="1">
        <f t="array" ref="G7">"Season " &amp; _xlfn.NUMBERVALUE(St_TextBetween(H7,"S","E"))</f>
        <v>Season 1</v>
      </c>
      <c r="H7" t="s">
        <v>172</v>
      </c>
      <c r="S7" s="18" t="s">
        <v>314</v>
      </c>
    </row>
    <row r="8" spans="1:19" hidden="1" x14ac:dyDescent="0.3">
      <c r="A8" t="str" cm="1">
        <f t="array" ref="A8">"Season " &amp; _xlfn.NUMBERVALUE(St_TextBetween(B8,"S","E"))</f>
        <v>Season 1</v>
      </c>
      <c r="B8" t="s">
        <v>173</v>
      </c>
      <c r="G8" t="str" cm="1">
        <f t="array" ref="G8">"Season " &amp; _xlfn.NUMBERVALUE(St_TextBetween(H8,"S","E"))</f>
        <v>Season 1</v>
      </c>
      <c r="H8" t="s">
        <v>173</v>
      </c>
      <c r="S8" s="18" t="s">
        <v>312</v>
      </c>
    </row>
    <row r="9" spans="1:19" hidden="1" x14ac:dyDescent="0.3">
      <c r="A9" t="str" cm="1">
        <f t="array" ref="A9">"Season " &amp; _xlfn.NUMBERVALUE(St_TextBetween(B9,"S","E"))</f>
        <v>Season 1</v>
      </c>
      <c r="B9" t="s">
        <v>174</v>
      </c>
      <c r="G9" t="str" cm="1">
        <f t="array" ref="G9">"Season " &amp; _xlfn.NUMBERVALUE(St_TextBetween(H9,"S","E"))</f>
        <v>Season 1</v>
      </c>
      <c r="H9" t="s">
        <v>174</v>
      </c>
      <c r="S9" s="18" t="s">
        <v>313</v>
      </c>
    </row>
    <row r="10" spans="1:19" ht="28.8" hidden="1" x14ac:dyDescent="0.3">
      <c r="A10" t="str" cm="1">
        <f t="array" ref="A10">"Season " &amp; _xlfn.NUMBERVALUE(St_TextBetween(B10,"S","E"))</f>
        <v>Season 1</v>
      </c>
      <c r="B10" t="s">
        <v>175</v>
      </c>
      <c r="G10" t="str" cm="1">
        <f t="array" ref="G10">"Season " &amp; _xlfn.NUMBERVALUE(St_TextBetween(H10,"S","E"))</f>
        <v>Season 1</v>
      </c>
      <c r="H10" t="s">
        <v>175</v>
      </c>
      <c r="S10" s="28" t="s">
        <v>343</v>
      </c>
    </row>
    <row r="11" spans="1:19" ht="28.8" hidden="1" x14ac:dyDescent="0.3">
      <c r="A11" t="str" cm="1">
        <f t="array" ref="A11">"Season " &amp; _xlfn.NUMBERVALUE(St_TextBetween(B11,"S","E"))</f>
        <v>Season 1</v>
      </c>
      <c r="B11" t="s">
        <v>14</v>
      </c>
      <c r="G11" t="str" cm="1">
        <f t="array" ref="G11">"Season " &amp; _xlfn.NUMBERVALUE(St_TextBetween(H11,"S","E"))</f>
        <v>Season 1</v>
      </c>
      <c r="H11" t="s">
        <v>14</v>
      </c>
      <c r="S11" s="28" t="s">
        <v>344</v>
      </c>
    </row>
    <row r="12" spans="1:19" hidden="1" x14ac:dyDescent="0.3">
      <c r="A12" t="str" cm="1">
        <f t="array" ref="A12">"Season " &amp; _xlfn.NUMBERVALUE(St_TextBetween(B12,"S","E"))</f>
        <v>Season 1</v>
      </c>
      <c r="B12" t="s">
        <v>176</v>
      </c>
      <c r="G12" t="str" cm="1">
        <f t="array" ref="G12">"Season " &amp; _xlfn.NUMBERVALUE(St_TextBetween(H12,"S","E"))</f>
        <v>Season 1</v>
      </c>
      <c r="H12" t="s">
        <v>176</v>
      </c>
      <c r="S12" s="18"/>
    </row>
    <row r="13" spans="1:19" hidden="1" x14ac:dyDescent="0.3">
      <c r="A13" t="str" cm="1">
        <f t="array" ref="A13">"Season " &amp; _xlfn.NUMBERVALUE(St_TextBetween(B13,"S","E"))</f>
        <v>Season 1</v>
      </c>
      <c r="B13" t="s">
        <v>177</v>
      </c>
      <c r="G13" t="str" cm="1">
        <f t="array" ref="G13">"Season " &amp; _xlfn.NUMBERVALUE(St_TextBetween(H13,"S","E"))</f>
        <v>Season 1</v>
      </c>
      <c r="H13" t="s">
        <v>177</v>
      </c>
      <c r="S13" s="18"/>
    </row>
    <row r="14" spans="1:19" hidden="1" x14ac:dyDescent="0.3">
      <c r="A14" t="str" cm="1">
        <f t="array" ref="A14">"Season " &amp; _xlfn.NUMBERVALUE(St_TextBetween(B14,"S","E"))</f>
        <v>Season 1</v>
      </c>
      <c r="B14" t="s">
        <v>178</v>
      </c>
      <c r="G14" t="str" cm="1">
        <f t="array" ref="G14">"Season " &amp; _xlfn.NUMBERVALUE(St_TextBetween(H14,"S","E"))</f>
        <v>Season 1</v>
      </c>
      <c r="H14" t="s">
        <v>178</v>
      </c>
      <c r="S14" s="18"/>
    </row>
    <row r="15" spans="1:19" hidden="1" x14ac:dyDescent="0.3">
      <c r="A15" t="str" cm="1">
        <f t="array" ref="A15">"Season " &amp; _xlfn.NUMBERVALUE(St_TextBetween(B15,"S","E"))</f>
        <v>Season 1</v>
      </c>
      <c r="B15" t="s">
        <v>12</v>
      </c>
      <c r="G15" t="str" cm="1">
        <f t="array" ref="G15">"Season " &amp; _xlfn.NUMBERVALUE(St_TextBetween(H15,"S","E"))</f>
        <v>Season 1</v>
      </c>
      <c r="H15" t="s">
        <v>12</v>
      </c>
      <c r="S15" s="18"/>
    </row>
    <row r="16" spans="1:19" hidden="1" x14ac:dyDescent="0.3">
      <c r="A16" t="str" cm="1">
        <f t="array" ref="A16">"Season " &amp; _xlfn.NUMBERVALUE(St_TextBetween(B16,"S","E"))</f>
        <v>Season 1</v>
      </c>
      <c r="B16" t="s">
        <v>179</v>
      </c>
      <c r="G16" t="str" cm="1">
        <f t="array" ref="G16">"Season " &amp; _xlfn.NUMBERVALUE(St_TextBetween(H16,"S","E"))</f>
        <v>Season 1</v>
      </c>
      <c r="H16" t="s">
        <v>179</v>
      </c>
      <c r="S16" s="18"/>
    </row>
    <row r="17" spans="1:19" hidden="1" x14ac:dyDescent="0.3">
      <c r="A17" t="str" cm="1">
        <f t="array" ref="A17">"Season " &amp; _xlfn.NUMBERVALUE(St_TextBetween(B17,"S","E"))</f>
        <v>Season 1</v>
      </c>
      <c r="B17" t="s">
        <v>15</v>
      </c>
      <c r="G17" t="str" cm="1">
        <f t="array" ref="G17">"Season " &amp; _xlfn.NUMBERVALUE(St_TextBetween(H17,"S","E"))</f>
        <v>Season 1</v>
      </c>
      <c r="H17" t="s">
        <v>15</v>
      </c>
      <c r="S17" s="18"/>
    </row>
    <row r="18" spans="1:19" hidden="1" x14ac:dyDescent="0.3">
      <c r="A18" t="str" cm="1">
        <f t="array" ref="A18">"Season " &amp; _xlfn.NUMBERVALUE(St_TextBetween(B18,"S","E"))</f>
        <v>Season 1</v>
      </c>
      <c r="B18" t="s">
        <v>180</v>
      </c>
      <c r="G18" t="str" cm="1">
        <f t="array" ref="G18">"Season " &amp; _xlfn.NUMBERVALUE(St_TextBetween(H18,"S","E"))</f>
        <v>Season 1</v>
      </c>
      <c r="H18" t="s">
        <v>180</v>
      </c>
      <c r="S18" s="18"/>
    </row>
    <row r="19" spans="1:19" hidden="1" x14ac:dyDescent="0.3">
      <c r="A19" t="str" cm="1">
        <f t="array" ref="A19">"Season " &amp; _xlfn.NUMBERVALUE(St_TextBetween(B19,"S","E"))</f>
        <v>Season 1</v>
      </c>
      <c r="B19" t="s">
        <v>181</v>
      </c>
      <c r="G19" t="str" cm="1">
        <f t="array" ref="G19">"Season " &amp; _xlfn.NUMBERVALUE(St_TextBetween(H19,"S","E"))</f>
        <v>Season 1</v>
      </c>
      <c r="H19" t="s">
        <v>181</v>
      </c>
      <c r="S19" s="18"/>
    </row>
    <row r="20" spans="1:19" hidden="1" x14ac:dyDescent="0.3">
      <c r="A20" t="str" cm="1">
        <f t="array" ref="A20">"Season " &amp; _xlfn.NUMBERVALUE(St_TextBetween(B20,"S","E"))</f>
        <v>Season 2</v>
      </c>
      <c r="B20" t="s">
        <v>13</v>
      </c>
      <c r="C20" s="23" t="s">
        <v>11</v>
      </c>
      <c r="D20" s="23" t="s">
        <v>11</v>
      </c>
      <c r="G20" t="str" cm="1">
        <f t="array" ref="G20">"Season " &amp; _xlfn.NUMBERVALUE(St_TextBetween(H20,"S","E"))</f>
        <v>Season 2</v>
      </c>
      <c r="H20" t="s">
        <v>13</v>
      </c>
      <c r="I20" s="23" t="s">
        <v>11</v>
      </c>
      <c r="J20" s="23" t="s">
        <v>11</v>
      </c>
      <c r="S20" s="18"/>
    </row>
    <row r="21" spans="1:19" hidden="1" x14ac:dyDescent="0.3">
      <c r="A21" t="str" cm="1">
        <f t="array" ref="A21">"Season " &amp; _xlfn.NUMBERVALUE(St_TextBetween(B21,"S","E"))</f>
        <v>Season 2</v>
      </c>
      <c r="B21" t="s">
        <v>149</v>
      </c>
      <c r="C21" s="23" t="s">
        <v>11</v>
      </c>
      <c r="D21" s="23" t="s">
        <v>11</v>
      </c>
      <c r="G21" t="str" cm="1">
        <f t="array" ref="G21">"Season " &amp; _xlfn.NUMBERVALUE(St_TextBetween(H21,"S","E"))</f>
        <v>Season 2</v>
      </c>
      <c r="H21" t="s">
        <v>149</v>
      </c>
      <c r="I21" s="23" t="s">
        <v>11</v>
      </c>
      <c r="J21" s="23" t="s">
        <v>11</v>
      </c>
      <c r="S21" s="18"/>
    </row>
    <row r="22" spans="1:19" hidden="1" x14ac:dyDescent="0.3">
      <c r="A22" t="str" cm="1">
        <f t="array" ref="A22">"Season " &amp; _xlfn.NUMBERVALUE(St_TextBetween(B22,"S","E"))</f>
        <v>Season 2</v>
      </c>
      <c r="B22" t="s">
        <v>150</v>
      </c>
      <c r="C22" s="23" t="s">
        <v>11</v>
      </c>
      <c r="D22" s="23" t="s">
        <v>11</v>
      </c>
      <c r="G22" t="str" cm="1">
        <f t="array" ref="G22">"Season " &amp; _xlfn.NUMBERVALUE(St_TextBetween(H22,"S","E"))</f>
        <v>Season 2</v>
      </c>
      <c r="H22" t="s">
        <v>150</v>
      </c>
      <c r="I22" s="23" t="s">
        <v>11</v>
      </c>
      <c r="J22" s="23" t="s">
        <v>11</v>
      </c>
      <c r="S22" s="18"/>
    </row>
    <row r="23" spans="1:19" hidden="1" x14ac:dyDescent="0.3">
      <c r="A23" t="str" cm="1">
        <f t="array" ref="A23">"Season " &amp; _xlfn.NUMBERVALUE(St_TextBetween(B23,"S","E"))</f>
        <v>Season 2</v>
      </c>
      <c r="B23" t="s">
        <v>151</v>
      </c>
      <c r="G23" t="str" cm="1">
        <f t="array" ref="G23">"Season " &amp; _xlfn.NUMBERVALUE(St_TextBetween(H23,"S","E"))</f>
        <v>Season 2</v>
      </c>
      <c r="H23" t="s">
        <v>151</v>
      </c>
      <c r="S23" s="18"/>
    </row>
    <row r="24" spans="1:19" hidden="1" x14ac:dyDescent="0.3">
      <c r="A24" t="str" cm="1">
        <f t="array" ref="A24">"Season " &amp; _xlfn.NUMBERVALUE(St_TextBetween(B24,"S","E"))</f>
        <v>Season 2</v>
      </c>
      <c r="B24" t="s">
        <v>152</v>
      </c>
      <c r="G24" t="str" cm="1">
        <f t="array" ref="G24">"Season " &amp; _xlfn.NUMBERVALUE(St_TextBetween(H24,"S","E"))</f>
        <v>Season 2</v>
      </c>
      <c r="H24" t="s">
        <v>152</v>
      </c>
      <c r="S24" s="18"/>
    </row>
    <row r="25" spans="1:19" hidden="1" x14ac:dyDescent="0.3">
      <c r="A25" t="str" cm="1">
        <f t="array" ref="A25">"Season " &amp; _xlfn.NUMBERVALUE(St_TextBetween(B25,"S","E"))</f>
        <v>Season 2</v>
      </c>
      <c r="B25" t="s">
        <v>153</v>
      </c>
      <c r="G25" t="str" cm="1">
        <f t="array" ref="G25">"Season " &amp; _xlfn.NUMBERVALUE(St_TextBetween(H25,"S","E"))</f>
        <v>Season 2</v>
      </c>
      <c r="H25" t="s">
        <v>153</v>
      </c>
      <c r="S25" s="18"/>
    </row>
    <row r="26" spans="1:19" hidden="1" x14ac:dyDescent="0.3">
      <c r="A26" t="str" cm="1">
        <f t="array" ref="A26">"Season " &amp; _xlfn.NUMBERVALUE(St_TextBetween(B26,"S","E"))</f>
        <v>Season 2</v>
      </c>
      <c r="B26" t="s">
        <v>154</v>
      </c>
      <c r="G26" t="str" cm="1">
        <f t="array" ref="G26">"Season " &amp; _xlfn.NUMBERVALUE(St_TextBetween(H26,"S","E"))</f>
        <v>Season 2</v>
      </c>
      <c r="H26" t="s">
        <v>154</v>
      </c>
      <c r="S26" s="18"/>
    </row>
    <row r="27" spans="1:19" hidden="1" x14ac:dyDescent="0.3">
      <c r="A27" t="str" cm="1">
        <f t="array" ref="A27">"Season " &amp; _xlfn.NUMBERVALUE(St_TextBetween(B27,"S","E"))</f>
        <v>Season 2</v>
      </c>
      <c r="B27" t="s">
        <v>155</v>
      </c>
      <c r="G27" t="str" cm="1">
        <f t="array" ref="G27">"Season " &amp; _xlfn.NUMBERVALUE(St_TextBetween(H27,"S","E"))</f>
        <v>Season 2</v>
      </c>
      <c r="H27" t="s">
        <v>155</v>
      </c>
      <c r="S27" s="18"/>
    </row>
    <row r="28" spans="1:19" hidden="1" x14ac:dyDescent="0.3">
      <c r="A28" t="str" cm="1">
        <f t="array" ref="A28">"Season " &amp; _xlfn.NUMBERVALUE(St_TextBetween(B28,"S","E"))</f>
        <v>Season 2</v>
      </c>
      <c r="B28" t="s">
        <v>156</v>
      </c>
      <c r="G28" t="str" cm="1">
        <f t="array" ref="G28">"Season " &amp; _xlfn.NUMBERVALUE(St_TextBetween(H28,"S","E"))</f>
        <v>Season 2</v>
      </c>
      <c r="H28" t="s">
        <v>156</v>
      </c>
      <c r="S28" s="18"/>
    </row>
    <row r="29" spans="1:19" hidden="1" x14ac:dyDescent="0.3">
      <c r="A29" t="str" cm="1">
        <f t="array" ref="A29">"Season " &amp; _xlfn.NUMBERVALUE(St_TextBetween(B29,"S","E"))</f>
        <v>Season 2</v>
      </c>
      <c r="B29" t="s">
        <v>157</v>
      </c>
      <c r="G29" t="str" cm="1">
        <f t="array" ref="G29">"Season " &amp; _xlfn.NUMBERVALUE(St_TextBetween(H29,"S","E"))</f>
        <v>Season 2</v>
      </c>
      <c r="H29" t="s">
        <v>157</v>
      </c>
      <c r="S29" s="18"/>
    </row>
    <row r="30" spans="1:19" hidden="1" x14ac:dyDescent="0.3">
      <c r="A30" t="str" cm="1">
        <f t="array" ref="A30">"Season " &amp; _xlfn.NUMBERVALUE(St_TextBetween(B30,"S","E"))</f>
        <v>Season 2</v>
      </c>
      <c r="B30" t="s">
        <v>158</v>
      </c>
      <c r="G30" t="str" cm="1">
        <f t="array" ref="G30">"Season " &amp; _xlfn.NUMBERVALUE(St_TextBetween(H30,"S","E"))</f>
        <v>Season 2</v>
      </c>
      <c r="H30" t="s">
        <v>158</v>
      </c>
      <c r="S30" s="18"/>
    </row>
    <row r="31" spans="1:19" hidden="1" x14ac:dyDescent="0.3">
      <c r="A31" t="str" cm="1">
        <f t="array" ref="A31">"Season " &amp; _xlfn.NUMBERVALUE(St_TextBetween(B31,"S","E"))</f>
        <v>Season 2</v>
      </c>
      <c r="B31" t="s">
        <v>159</v>
      </c>
      <c r="G31" t="str" cm="1">
        <f t="array" ref="G31">"Season " &amp; _xlfn.NUMBERVALUE(St_TextBetween(H31,"S","E"))</f>
        <v>Season 2</v>
      </c>
      <c r="H31" t="s">
        <v>159</v>
      </c>
      <c r="S31" s="18"/>
    </row>
    <row r="32" spans="1:19" hidden="1" x14ac:dyDescent="0.3">
      <c r="A32" t="str" cm="1">
        <f t="array" ref="A32">"Season " &amp; _xlfn.NUMBERVALUE(St_TextBetween(B32,"S","E"))</f>
        <v>Season 2</v>
      </c>
      <c r="B32" t="s">
        <v>160</v>
      </c>
      <c r="G32" t="str" cm="1">
        <f t="array" ref="G32">"Season " &amp; _xlfn.NUMBERVALUE(St_TextBetween(H32,"S","E"))</f>
        <v>Season 2</v>
      </c>
      <c r="H32" t="s">
        <v>160</v>
      </c>
      <c r="S32" s="18"/>
    </row>
    <row r="33" spans="1:10" hidden="1" x14ac:dyDescent="0.3">
      <c r="A33" t="str" cm="1">
        <f t="array" ref="A33">"Season " &amp; _xlfn.NUMBERVALUE(St_TextBetween(B33,"S","E"))</f>
        <v>Season 2</v>
      </c>
      <c r="B33" t="s">
        <v>161</v>
      </c>
      <c r="G33" t="str" cm="1">
        <f t="array" ref="G33">"Season " &amp; _xlfn.NUMBERVALUE(St_TextBetween(H33,"S","E"))</f>
        <v>Season 2</v>
      </c>
      <c r="H33" t="s">
        <v>161</v>
      </c>
    </row>
    <row r="34" spans="1:10" hidden="1" x14ac:dyDescent="0.3">
      <c r="A34" t="str" cm="1">
        <f t="array" ref="A34">"Season " &amp; _xlfn.NUMBERVALUE(St_TextBetween(B34,"S","E"))</f>
        <v>Season 2</v>
      </c>
      <c r="B34" t="s">
        <v>162</v>
      </c>
      <c r="G34" t="str" cm="1">
        <f t="array" ref="G34">"Season " &amp; _xlfn.NUMBERVALUE(St_TextBetween(H34,"S","E"))</f>
        <v>Season 2</v>
      </c>
      <c r="H34" t="s">
        <v>162</v>
      </c>
    </row>
    <row r="35" spans="1:10" hidden="1" x14ac:dyDescent="0.3">
      <c r="A35" t="str" cm="1">
        <f t="array" ref="A35">"Season " &amp; _xlfn.NUMBERVALUE(St_TextBetween(B35,"S","E"))</f>
        <v>Season 2</v>
      </c>
      <c r="B35" t="s">
        <v>163</v>
      </c>
      <c r="G35" t="str" cm="1">
        <f t="array" ref="G35">"Season " &amp; _xlfn.NUMBERVALUE(St_TextBetween(H35,"S","E"))</f>
        <v>Season 2</v>
      </c>
      <c r="H35" t="s">
        <v>163</v>
      </c>
    </row>
    <row r="36" spans="1:10" hidden="1" x14ac:dyDescent="0.3">
      <c r="A36" t="str" cm="1">
        <f t="array" ref="A36">"Season " &amp; _xlfn.NUMBERVALUE(St_TextBetween(B36,"S","E"))</f>
        <v>Season 2</v>
      </c>
      <c r="B36" t="s">
        <v>164</v>
      </c>
      <c r="G36" t="str" cm="1">
        <f t="array" ref="G36">"Season " &amp; _xlfn.NUMBERVALUE(St_TextBetween(H36,"S","E"))</f>
        <v>Season 2</v>
      </c>
      <c r="H36" t="s">
        <v>164</v>
      </c>
    </row>
    <row r="37" spans="1:10" hidden="1" x14ac:dyDescent="0.3">
      <c r="A37" t="str" cm="1">
        <f t="array" ref="A37">"Season " &amp; _xlfn.NUMBERVALUE(St_TextBetween(B37,"S","E"))</f>
        <v>Season 2</v>
      </c>
      <c r="B37" t="s">
        <v>165</v>
      </c>
      <c r="G37" t="str" cm="1">
        <f t="array" ref="G37">"Season " &amp; _xlfn.NUMBERVALUE(St_TextBetween(H37,"S","E"))</f>
        <v>Season 2</v>
      </c>
      <c r="H37" t="s">
        <v>165</v>
      </c>
    </row>
    <row r="38" spans="1:10" hidden="1" x14ac:dyDescent="0.3">
      <c r="A38" t="str" cm="1">
        <f t="array" ref="A38">"Season " &amp; _xlfn.NUMBERVALUE(St_TextBetween(B38,"S","E"))</f>
        <v>Season 2</v>
      </c>
      <c r="B38" t="s">
        <v>19</v>
      </c>
      <c r="G38" t="str" cm="1">
        <f t="array" ref="G38">"Season " &amp; _xlfn.NUMBERVALUE(St_TextBetween(H38,"S","E"))</f>
        <v>Season 2</v>
      </c>
      <c r="H38" t="s">
        <v>19</v>
      </c>
    </row>
    <row r="39" spans="1:10" hidden="1" x14ac:dyDescent="0.3">
      <c r="A39" t="str" cm="1">
        <f t="array" ref="A39">"Season " &amp; _xlfn.NUMBERVALUE(St_TextBetween(B39,"S","E"))</f>
        <v>Season 2</v>
      </c>
      <c r="B39" t="s">
        <v>166</v>
      </c>
      <c r="G39" t="str" cm="1">
        <f t="array" ref="G39">"Season " &amp; _xlfn.NUMBERVALUE(St_TextBetween(H39,"S","E"))</f>
        <v>Season 2</v>
      </c>
      <c r="H39" t="s">
        <v>166</v>
      </c>
    </row>
    <row r="40" spans="1:10" hidden="1" x14ac:dyDescent="0.3">
      <c r="A40" t="str" cm="1">
        <f t="array" ref="A40">"Season " &amp; _xlfn.NUMBERVALUE(St_TextBetween(B40,"S","E"))</f>
        <v>Season 2</v>
      </c>
      <c r="B40" t="s">
        <v>167</v>
      </c>
      <c r="G40" t="str" cm="1">
        <f t="array" ref="G40">"Season " &amp; _xlfn.NUMBERVALUE(St_TextBetween(H40,"S","E"))</f>
        <v>Season 2</v>
      </c>
      <c r="H40" t="s">
        <v>167</v>
      </c>
    </row>
    <row r="41" spans="1:10" hidden="1" x14ac:dyDescent="0.3">
      <c r="A41" t="str" cm="1">
        <f t="array" ref="A41">"Season " &amp; _xlfn.NUMBERVALUE(St_TextBetween(B41,"S","E"))</f>
        <v>Season 2</v>
      </c>
      <c r="B41" t="s">
        <v>168</v>
      </c>
      <c r="C41" s="23" t="s">
        <v>11</v>
      </c>
      <c r="D41" s="23" t="s">
        <v>11</v>
      </c>
      <c r="G41" t="str" cm="1">
        <f t="array" ref="G41">"Season " &amp; _xlfn.NUMBERVALUE(St_TextBetween(H41,"S","E"))</f>
        <v>Season 2</v>
      </c>
      <c r="H41" t="s">
        <v>168</v>
      </c>
      <c r="I41" s="23" t="s">
        <v>11</v>
      </c>
      <c r="J41" s="23" t="s">
        <v>11</v>
      </c>
    </row>
    <row r="42" spans="1:10" hidden="1" x14ac:dyDescent="0.3">
      <c r="A42" t="str" cm="1">
        <f t="array" ref="A42">"Season " &amp; _xlfn.NUMBERVALUE(St_TextBetween(B42,"S","E"))</f>
        <v>Season 2</v>
      </c>
      <c r="B42" t="s">
        <v>17</v>
      </c>
      <c r="C42" s="23" t="s">
        <v>11</v>
      </c>
      <c r="D42" s="23" t="s">
        <v>11</v>
      </c>
      <c r="G42" t="str" cm="1">
        <f t="array" ref="G42">"Season " &amp; _xlfn.NUMBERVALUE(St_TextBetween(H42,"S","E"))</f>
        <v>Season 2</v>
      </c>
      <c r="H42" t="s">
        <v>17</v>
      </c>
      <c r="I42" s="23" t="s">
        <v>11</v>
      </c>
      <c r="J42" s="23" t="s">
        <v>11</v>
      </c>
    </row>
    <row r="43" spans="1:10" hidden="1" x14ac:dyDescent="0.3">
      <c r="A43" t="str" cm="1">
        <f t="array" ref="A43">"Season " &amp; _xlfn.NUMBERVALUE(St_TextBetween(B43,"S","E"))</f>
        <v>Season 3</v>
      </c>
      <c r="B43" t="s">
        <v>18</v>
      </c>
      <c r="C43" s="23" t="s">
        <v>11</v>
      </c>
      <c r="D43" s="23" t="s">
        <v>11</v>
      </c>
      <c r="G43" t="str" cm="1">
        <f t="array" ref="G43">"Season " &amp; _xlfn.NUMBERVALUE(St_TextBetween(H43,"S","E"))</f>
        <v>Season 3</v>
      </c>
      <c r="H43" t="s">
        <v>18</v>
      </c>
      <c r="I43" s="23" t="s">
        <v>11</v>
      </c>
      <c r="J43" s="23" t="s">
        <v>11</v>
      </c>
    </row>
    <row r="44" spans="1:10" hidden="1" x14ac:dyDescent="0.3">
      <c r="A44" t="str" cm="1">
        <f t="array" ref="A44">"Season " &amp; _xlfn.NUMBERVALUE(St_TextBetween(B44,"S","E"))</f>
        <v>Season 3</v>
      </c>
      <c r="B44" t="s">
        <v>127</v>
      </c>
      <c r="C44" s="23" t="s">
        <v>11</v>
      </c>
      <c r="D44" s="23" t="s">
        <v>11</v>
      </c>
      <c r="G44" t="str" cm="1">
        <f t="array" ref="G44">"Season " &amp; _xlfn.NUMBERVALUE(St_TextBetween(H44,"S","E"))</f>
        <v>Season 3</v>
      </c>
      <c r="H44" t="s">
        <v>127</v>
      </c>
      <c r="I44" s="23" t="s">
        <v>11</v>
      </c>
      <c r="J44" s="23" t="s">
        <v>11</v>
      </c>
    </row>
    <row r="45" spans="1:10" hidden="1" x14ac:dyDescent="0.3">
      <c r="A45" t="str" cm="1">
        <f t="array" ref="A45">"Season " &amp; _xlfn.NUMBERVALUE(St_TextBetween(B45,"S","E"))</f>
        <v>Season 3</v>
      </c>
      <c r="B45" t="s">
        <v>128</v>
      </c>
      <c r="C45" s="23" t="s">
        <v>11</v>
      </c>
      <c r="D45" s="23" t="s">
        <v>11</v>
      </c>
      <c r="G45" t="str" cm="1">
        <f t="array" ref="G45">"Season " &amp; _xlfn.NUMBERVALUE(St_TextBetween(H45,"S","E"))</f>
        <v>Season 3</v>
      </c>
      <c r="H45" t="s">
        <v>128</v>
      </c>
      <c r="I45" s="23" t="s">
        <v>11</v>
      </c>
      <c r="J45" s="23" t="s">
        <v>11</v>
      </c>
    </row>
    <row r="46" spans="1:10" hidden="1" x14ac:dyDescent="0.3">
      <c r="A46" t="str" cm="1">
        <f t="array" ref="A46">"Season " &amp; _xlfn.NUMBERVALUE(St_TextBetween(B46,"S","E"))</f>
        <v>Season 3</v>
      </c>
      <c r="B46" t="s">
        <v>129</v>
      </c>
      <c r="G46" t="str" cm="1">
        <f t="array" ref="G46">"Season " &amp; _xlfn.NUMBERVALUE(St_TextBetween(H46,"S","E"))</f>
        <v>Season 3</v>
      </c>
      <c r="H46" t="s">
        <v>129</v>
      </c>
    </row>
    <row r="47" spans="1:10" hidden="1" x14ac:dyDescent="0.3">
      <c r="A47" t="str" cm="1">
        <f t="array" ref="A47">"Season " &amp; _xlfn.NUMBERVALUE(St_TextBetween(B47,"S","E"))</f>
        <v>Season 3</v>
      </c>
      <c r="B47" t="s">
        <v>130</v>
      </c>
      <c r="G47" t="str" cm="1">
        <f t="array" ref="G47">"Season " &amp; _xlfn.NUMBERVALUE(St_TextBetween(H47,"S","E"))</f>
        <v>Season 3</v>
      </c>
      <c r="H47" t="s">
        <v>130</v>
      </c>
    </row>
    <row r="48" spans="1:10" hidden="1" x14ac:dyDescent="0.3">
      <c r="A48" t="str" cm="1">
        <f t="array" ref="A48">"Season " &amp; _xlfn.NUMBERVALUE(St_TextBetween(B48,"S","E"))</f>
        <v>Season 3</v>
      </c>
      <c r="B48" t="s">
        <v>131</v>
      </c>
      <c r="G48" t="str" cm="1">
        <f t="array" ref="G48">"Season " &amp; _xlfn.NUMBERVALUE(St_TextBetween(H48,"S","E"))</f>
        <v>Season 3</v>
      </c>
      <c r="H48" t="s">
        <v>131</v>
      </c>
    </row>
    <row r="49" spans="1:8" hidden="1" x14ac:dyDescent="0.3">
      <c r="A49" t="str" cm="1">
        <f t="array" ref="A49">"Season " &amp; _xlfn.NUMBERVALUE(St_TextBetween(B49,"S","E"))</f>
        <v>Season 3</v>
      </c>
      <c r="B49" t="s">
        <v>132</v>
      </c>
      <c r="G49" t="str" cm="1">
        <f t="array" ref="G49">"Season " &amp; _xlfn.NUMBERVALUE(St_TextBetween(H49,"S","E"))</f>
        <v>Season 3</v>
      </c>
      <c r="H49" t="s">
        <v>132</v>
      </c>
    </row>
    <row r="50" spans="1:8" hidden="1" x14ac:dyDescent="0.3">
      <c r="A50" t="str" cm="1">
        <f t="array" ref="A50">"Season " &amp; _xlfn.NUMBERVALUE(St_TextBetween(B50,"S","E"))</f>
        <v>Season 3</v>
      </c>
      <c r="B50" t="s">
        <v>133</v>
      </c>
      <c r="G50" t="str" cm="1">
        <f t="array" ref="G50">"Season " &amp; _xlfn.NUMBERVALUE(St_TextBetween(H50,"S","E"))</f>
        <v>Season 3</v>
      </c>
      <c r="H50" t="s">
        <v>133</v>
      </c>
    </row>
    <row r="51" spans="1:8" hidden="1" x14ac:dyDescent="0.3">
      <c r="A51" t="str" cm="1">
        <f t="array" ref="A51">"Season " &amp; _xlfn.NUMBERVALUE(St_TextBetween(B51,"S","E"))</f>
        <v>Season 3</v>
      </c>
      <c r="B51" t="s">
        <v>134</v>
      </c>
      <c r="G51" t="str" cm="1">
        <f t="array" ref="G51">"Season " &amp; _xlfn.NUMBERVALUE(St_TextBetween(H51,"S","E"))</f>
        <v>Season 3</v>
      </c>
      <c r="H51" t="s">
        <v>134</v>
      </c>
    </row>
    <row r="52" spans="1:8" hidden="1" x14ac:dyDescent="0.3">
      <c r="A52" t="str" cm="1">
        <f t="array" ref="A52">"Season " &amp; _xlfn.NUMBERVALUE(St_TextBetween(B52,"S","E"))</f>
        <v>Season 3</v>
      </c>
      <c r="B52" t="s">
        <v>135</v>
      </c>
      <c r="G52" t="str" cm="1">
        <f t="array" ref="G52">"Season " &amp; _xlfn.NUMBERVALUE(St_TextBetween(H52,"S","E"))</f>
        <v>Season 3</v>
      </c>
      <c r="H52" t="s">
        <v>135</v>
      </c>
    </row>
    <row r="53" spans="1:8" hidden="1" x14ac:dyDescent="0.3">
      <c r="A53" t="str" cm="1">
        <f t="array" ref="A53">"Season " &amp; _xlfn.NUMBERVALUE(St_TextBetween(B53,"S","E"))</f>
        <v>Season 3</v>
      </c>
      <c r="B53" t="s">
        <v>136</v>
      </c>
      <c r="G53" t="str" cm="1">
        <f t="array" ref="G53">"Season " &amp; _xlfn.NUMBERVALUE(St_TextBetween(H53,"S","E"))</f>
        <v>Season 3</v>
      </c>
      <c r="H53" t="s">
        <v>136</v>
      </c>
    </row>
    <row r="54" spans="1:8" hidden="1" x14ac:dyDescent="0.3">
      <c r="A54" t="str" cm="1">
        <f t="array" ref="A54">"Season " &amp; _xlfn.NUMBERVALUE(St_TextBetween(B54,"S","E"))</f>
        <v>Season 3</v>
      </c>
      <c r="B54" t="s">
        <v>137</v>
      </c>
      <c r="G54" t="str" cm="1">
        <f t="array" ref="G54">"Season " &amp; _xlfn.NUMBERVALUE(St_TextBetween(H54,"S","E"))</f>
        <v>Season 3</v>
      </c>
      <c r="H54" t="s">
        <v>137</v>
      </c>
    </row>
    <row r="55" spans="1:8" hidden="1" x14ac:dyDescent="0.3">
      <c r="A55" t="str" cm="1">
        <f t="array" ref="A55">"Season " &amp; _xlfn.NUMBERVALUE(St_TextBetween(B55,"S","E"))</f>
        <v>Season 3</v>
      </c>
      <c r="B55" t="s">
        <v>138</v>
      </c>
      <c r="G55" t="str" cm="1">
        <f t="array" ref="G55">"Season " &amp; _xlfn.NUMBERVALUE(St_TextBetween(H55,"S","E"))</f>
        <v>Season 3</v>
      </c>
      <c r="H55" t="s">
        <v>138</v>
      </c>
    </row>
    <row r="56" spans="1:8" hidden="1" x14ac:dyDescent="0.3">
      <c r="A56" t="str" cm="1">
        <f t="array" ref="A56">"Season " &amp; _xlfn.NUMBERVALUE(St_TextBetween(B56,"S","E"))</f>
        <v>Season 3</v>
      </c>
      <c r="B56" t="s">
        <v>139</v>
      </c>
      <c r="G56" t="str" cm="1">
        <f t="array" ref="G56">"Season " &amp; _xlfn.NUMBERVALUE(St_TextBetween(H56,"S","E"))</f>
        <v>Season 3</v>
      </c>
      <c r="H56" t="s">
        <v>139</v>
      </c>
    </row>
    <row r="57" spans="1:8" hidden="1" x14ac:dyDescent="0.3">
      <c r="A57" t="str" cm="1">
        <f t="array" ref="A57">"Season " &amp; _xlfn.NUMBERVALUE(St_TextBetween(B57,"S","E"))</f>
        <v>Season 3</v>
      </c>
      <c r="B57" t="s">
        <v>140</v>
      </c>
      <c r="G57" t="str" cm="1">
        <f t="array" ref="G57">"Season " &amp; _xlfn.NUMBERVALUE(St_TextBetween(H57,"S","E"))</f>
        <v>Season 3</v>
      </c>
      <c r="H57" t="s">
        <v>140</v>
      </c>
    </row>
    <row r="58" spans="1:8" hidden="1" x14ac:dyDescent="0.3">
      <c r="A58" t="str" cm="1">
        <f t="array" ref="A58">"Season " &amp; _xlfn.NUMBERVALUE(St_TextBetween(B58,"S","E"))</f>
        <v>Season 3</v>
      </c>
      <c r="B58" t="s">
        <v>141</v>
      </c>
      <c r="G58" t="str" cm="1">
        <f t="array" ref="G58">"Season " &amp; _xlfn.NUMBERVALUE(St_TextBetween(H58,"S","E"))</f>
        <v>Season 3</v>
      </c>
      <c r="H58" t="s">
        <v>141</v>
      </c>
    </row>
    <row r="59" spans="1:8" hidden="1" x14ac:dyDescent="0.3">
      <c r="A59" t="str" cm="1">
        <f t="array" ref="A59">"Season " &amp; _xlfn.NUMBERVALUE(St_TextBetween(B59,"S","E"))</f>
        <v>Season 3</v>
      </c>
      <c r="B59" t="s">
        <v>142</v>
      </c>
      <c r="G59" t="str" cm="1">
        <f t="array" ref="G59">"Season " &amp; _xlfn.NUMBERVALUE(St_TextBetween(H59,"S","E"))</f>
        <v>Season 3</v>
      </c>
      <c r="H59" t="s">
        <v>142</v>
      </c>
    </row>
    <row r="60" spans="1:8" hidden="1" x14ac:dyDescent="0.3">
      <c r="A60" t="str" cm="1">
        <f t="array" ref="A60">"Season " &amp; _xlfn.NUMBERVALUE(St_TextBetween(B60,"S","E"))</f>
        <v>Season 3</v>
      </c>
      <c r="B60" t="s">
        <v>143</v>
      </c>
      <c r="G60" t="str" cm="1">
        <f t="array" ref="G60">"Season " &amp; _xlfn.NUMBERVALUE(St_TextBetween(H60,"S","E"))</f>
        <v>Season 3</v>
      </c>
      <c r="H60" t="s">
        <v>143</v>
      </c>
    </row>
    <row r="61" spans="1:8" hidden="1" x14ac:dyDescent="0.3">
      <c r="A61" t="str" cm="1">
        <f t="array" ref="A61">"Season " &amp; _xlfn.NUMBERVALUE(St_TextBetween(B61,"S","E"))</f>
        <v>Season 3</v>
      </c>
      <c r="B61" t="s">
        <v>144</v>
      </c>
      <c r="G61" t="str" cm="1">
        <f t="array" ref="G61">"Season " &amp; _xlfn.NUMBERVALUE(St_TextBetween(H61,"S","E"))</f>
        <v>Season 3</v>
      </c>
      <c r="H61" t="s">
        <v>144</v>
      </c>
    </row>
    <row r="62" spans="1:8" hidden="1" x14ac:dyDescent="0.3">
      <c r="A62" t="str" cm="1">
        <f t="array" ref="A62">"Season " &amp; _xlfn.NUMBERVALUE(St_TextBetween(B62,"S","E"))</f>
        <v>Season 3</v>
      </c>
      <c r="B62" t="s">
        <v>145</v>
      </c>
      <c r="G62" t="str" cm="1">
        <f t="array" ref="G62">"Season " &amp; _xlfn.NUMBERVALUE(St_TextBetween(H62,"S","E"))</f>
        <v>Season 3</v>
      </c>
      <c r="H62" t="s">
        <v>145</v>
      </c>
    </row>
    <row r="63" spans="1:8" hidden="1" x14ac:dyDescent="0.3">
      <c r="A63" t="str" cm="1">
        <f t="array" ref="A63">"Season " &amp; _xlfn.NUMBERVALUE(St_TextBetween(B63,"S","E"))</f>
        <v>Season 3</v>
      </c>
      <c r="B63" t="s">
        <v>146</v>
      </c>
      <c r="G63" t="str" cm="1">
        <f t="array" ref="G63">"Season " &amp; _xlfn.NUMBERVALUE(St_TextBetween(H63,"S","E"))</f>
        <v>Season 3</v>
      </c>
      <c r="H63" t="s">
        <v>146</v>
      </c>
    </row>
    <row r="64" spans="1:8" hidden="1" x14ac:dyDescent="0.3">
      <c r="A64" t="str" cm="1">
        <f t="array" ref="A64">"Season " &amp; _xlfn.NUMBERVALUE(St_TextBetween(B64,"S","E"))</f>
        <v>Season 3</v>
      </c>
      <c r="B64" t="s">
        <v>147</v>
      </c>
      <c r="G64" t="str" cm="1">
        <f t="array" ref="G64">"Season " &amp; _xlfn.NUMBERVALUE(St_TextBetween(H64,"S","E"))</f>
        <v>Season 3</v>
      </c>
      <c r="H64" t="s">
        <v>147</v>
      </c>
    </row>
    <row r="65" spans="1:10" hidden="1" x14ac:dyDescent="0.3">
      <c r="A65" t="str" cm="1">
        <f t="array" ref="A65">"Season " &amp; _xlfn.NUMBERVALUE(St_TextBetween(B65,"S","E"))</f>
        <v>Season 3</v>
      </c>
      <c r="B65" t="s">
        <v>148</v>
      </c>
      <c r="G65" t="str" cm="1">
        <f t="array" ref="G65">"Season " &amp; _xlfn.NUMBERVALUE(St_TextBetween(H65,"S","E"))</f>
        <v>Season 3</v>
      </c>
      <c r="H65" t="s">
        <v>148</v>
      </c>
    </row>
    <row r="66" spans="1:10" hidden="1" x14ac:dyDescent="0.3">
      <c r="A66" t="str" cm="1">
        <f t="array" ref="A66">"Season " &amp; _xlfn.NUMBERVALUE(St_TextBetween(B66,"S","E"))</f>
        <v>Season 4</v>
      </c>
      <c r="B66" t="s">
        <v>103</v>
      </c>
      <c r="C66" s="23" t="s">
        <v>11</v>
      </c>
      <c r="D66" s="23" t="s">
        <v>11</v>
      </c>
      <c r="G66" t="str" cm="1">
        <f t="array" ref="G66">"Season " &amp; _xlfn.NUMBERVALUE(St_TextBetween(H66,"S","E"))</f>
        <v>Season 4</v>
      </c>
      <c r="H66" t="s">
        <v>103</v>
      </c>
      <c r="I66" s="23" t="s">
        <v>11</v>
      </c>
      <c r="J66" s="23" t="s">
        <v>11</v>
      </c>
    </row>
    <row r="67" spans="1:10" hidden="1" x14ac:dyDescent="0.3">
      <c r="A67" t="str" cm="1">
        <f t="array" ref="A67">"Season " &amp; _xlfn.NUMBERVALUE(St_TextBetween(B67,"S","E"))</f>
        <v>Season 4</v>
      </c>
      <c r="B67" t="s">
        <v>104</v>
      </c>
      <c r="C67" s="23" t="s">
        <v>11</v>
      </c>
      <c r="D67" s="23" t="s">
        <v>11</v>
      </c>
      <c r="G67" t="str" cm="1">
        <f t="array" ref="G67">"Season " &amp; _xlfn.NUMBERVALUE(St_TextBetween(H67,"S","E"))</f>
        <v>Season 4</v>
      </c>
      <c r="H67" t="s">
        <v>104</v>
      </c>
      <c r="I67" s="23" t="s">
        <v>11</v>
      </c>
      <c r="J67" s="23" t="s">
        <v>11</v>
      </c>
    </row>
    <row r="68" spans="1:10" hidden="1" x14ac:dyDescent="0.3">
      <c r="A68" t="str" cm="1">
        <f t="array" ref="A68">"Season " &amp; _xlfn.NUMBERVALUE(St_TextBetween(B68,"S","E"))</f>
        <v>Season 4</v>
      </c>
      <c r="B68" t="s">
        <v>105</v>
      </c>
      <c r="G68" t="str" cm="1">
        <f t="array" ref="G68">"Season " &amp; _xlfn.NUMBERVALUE(St_TextBetween(H68,"S","E"))</f>
        <v>Season 4</v>
      </c>
      <c r="H68" t="s">
        <v>105</v>
      </c>
    </row>
    <row r="69" spans="1:10" hidden="1" x14ac:dyDescent="0.3">
      <c r="A69" t="str" cm="1">
        <f t="array" ref="A69">"Season " &amp; _xlfn.NUMBERVALUE(St_TextBetween(B69,"S","E"))</f>
        <v>Season 4</v>
      </c>
      <c r="B69" t="s">
        <v>106</v>
      </c>
      <c r="G69" t="str" cm="1">
        <f t="array" ref="G69">"Season " &amp; _xlfn.NUMBERVALUE(St_TextBetween(H69,"S","E"))</f>
        <v>Season 4</v>
      </c>
      <c r="H69" t="s">
        <v>106</v>
      </c>
    </row>
    <row r="70" spans="1:10" hidden="1" x14ac:dyDescent="0.3">
      <c r="A70" t="str" cm="1">
        <f t="array" ref="A70">"Season " &amp; _xlfn.NUMBERVALUE(St_TextBetween(B70,"S","E"))</f>
        <v>Season 4</v>
      </c>
      <c r="B70" t="s">
        <v>107</v>
      </c>
      <c r="G70" t="str" cm="1">
        <f t="array" ref="G70">"Season " &amp; _xlfn.NUMBERVALUE(St_TextBetween(H70,"S","E"))</f>
        <v>Season 4</v>
      </c>
      <c r="H70" t="s">
        <v>107</v>
      </c>
    </row>
    <row r="71" spans="1:10" hidden="1" x14ac:dyDescent="0.3">
      <c r="A71" t="str" cm="1">
        <f t="array" ref="A71">"Season " &amp; _xlfn.NUMBERVALUE(St_TextBetween(B71,"S","E"))</f>
        <v>Season 4</v>
      </c>
      <c r="B71" t="s">
        <v>108</v>
      </c>
      <c r="G71" t="str" cm="1">
        <f t="array" ref="G71">"Season " &amp; _xlfn.NUMBERVALUE(St_TextBetween(H71,"S","E"))</f>
        <v>Season 4</v>
      </c>
      <c r="H71" t="s">
        <v>108</v>
      </c>
    </row>
    <row r="72" spans="1:10" hidden="1" x14ac:dyDescent="0.3">
      <c r="A72" t="str" cm="1">
        <f t="array" ref="A72">"Season " &amp; _xlfn.NUMBERVALUE(St_TextBetween(B72,"S","E"))</f>
        <v>Season 4</v>
      </c>
      <c r="B72" t="s">
        <v>109</v>
      </c>
      <c r="G72" t="str" cm="1">
        <f t="array" ref="G72">"Season " &amp; _xlfn.NUMBERVALUE(St_TextBetween(H72,"S","E"))</f>
        <v>Season 4</v>
      </c>
      <c r="H72" t="s">
        <v>109</v>
      </c>
    </row>
    <row r="73" spans="1:10" hidden="1" x14ac:dyDescent="0.3">
      <c r="A73" t="str" cm="1">
        <f t="array" ref="A73">"Season " &amp; _xlfn.NUMBERVALUE(St_TextBetween(B73,"S","E"))</f>
        <v>Season 4</v>
      </c>
      <c r="B73" t="s">
        <v>110</v>
      </c>
      <c r="G73" t="str" cm="1">
        <f t="array" ref="G73">"Season " &amp; _xlfn.NUMBERVALUE(St_TextBetween(H73,"S","E"))</f>
        <v>Season 4</v>
      </c>
      <c r="H73" t="s">
        <v>110</v>
      </c>
    </row>
    <row r="74" spans="1:10" hidden="1" x14ac:dyDescent="0.3">
      <c r="A74" t="str" cm="1">
        <f t="array" ref="A74">"Season " &amp; _xlfn.NUMBERVALUE(St_TextBetween(B74,"S","E"))</f>
        <v>Season 4</v>
      </c>
      <c r="B74" t="s">
        <v>111</v>
      </c>
      <c r="G74" t="str" cm="1">
        <f t="array" ref="G74">"Season " &amp; _xlfn.NUMBERVALUE(St_TextBetween(H74,"S","E"))</f>
        <v>Season 4</v>
      </c>
      <c r="H74" t="s">
        <v>111</v>
      </c>
    </row>
    <row r="75" spans="1:10" hidden="1" x14ac:dyDescent="0.3">
      <c r="A75" t="str" cm="1">
        <f t="array" ref="A75">"Season " &amp; _xlfn.NUMBERVALUE(St_TextBetween(B75,"S","E"))</f>
        <v>Season 4</v>
      </c>
      <c r="B75" t="s">
        <v>112</v>
      </c>
      <c r="G75" t="str" cm="1">
        <f t="array" ref="G75">"Season " &amp; _xlfn.NUMBERVALUE(St_TextBetween(H75,"S","E"))</f>
        <v>Season 4</v>
      </c>
      <c r="H75" t="s">
        <v>112</v>
      </c>
    </row>
    <row r="76" spans="1:10" hidden="1" x14ac:dyDescent="0.3">
      <c r="A76" t="str" cm="1">
        <f t="array" ref="A76">"Season " &amp; _xlfn.NUMBERVALUE(St_TextBetween(B76,"S","E"))</f>
        <v>Season 4</v>
      </c>
      <c r="B76" t="s">
        <v>113</v>
      </c>
      <c r="G76" t="str" cm="1">
        <f t="array" ref="G76">"Season " &amp; _xlfn.NUMBERVALUE(St_TextBetween(H76,"S","E"))</f>
        <v>Season 4</v>
      </c>
      <c r="H76" t="s">
        <v>113</v>
      </c>
    </row>
    <row r="77" spans="1:10" hidden="1" x14ac:dyDescent="0.3">
      <c r="A77" t="str" cm="1">
        <f t="array" ref="A77">"Season " &amp; _xlfn.NUMBERVALUE(St_TextBetween(B77,"S","E"))</f>
        <v>Season 4</v>
      </c>
      <c r="B77" t="s">
        <v>114</v>
      </c>
      <c r="G77" t="str" cm="1">
        <f t="array" ref="G77">"Season " &amp; _xlfn.NUMBERVALUE(St_TextBetween(H77,"S","E"))</f>
        <v>Season 4</v>
      </c>
      <c r="H77" t="s">
        <v>114</v>
      </c>
    </row>
    <row r="78" spans="1:10" hidden="1" x14ac:dyDescent="0.3">
      <c r="A78" t="str" cm="1">
        <f t="array" ref="A78">"Season " &amp; _xlfn.NUMBERVALUE(St_TextBetween(B78,"S","E"))</f>
        <v>Season 4</v>
      </c>
      <c r="B78" t="s">
        <v>115</v>
      </c>
      <c r="G78" t="str" cm="1">
        <f t="array" ref="G78">"Season " &amp; _xlfn.NUMBERVALUE(St_TextBetween(H78,"S","E"))</f>
        <v>Season 4</v>
      </c>
      <c r="H78" t="s">
        <v>115</v>
      </c>
    </row>
    <row r="79" spans="1:10" hidden="1" x14ac:dyDescent="0.3">
      <c r="A79" t="str" cm="1">
        <f t="array" ref="A79">"Season " &amp; _xlfn.NUMBERVALUE(St_TextBetween(B79,"S","E"))</f>
        <v>Season 4</v>
      </c>
      <c r="B79" t="s">
        <v>116</v>
      </c>
      <c r="G79" t="str" cm="1">
        <f t="array" ref="G79">"Season " &amp; _xlfn.NUMBERVALUE(St_TextBetween(H79,"S","E"))</f>
        <v>Season 4</v>
      </c>
      <c r="H79" t="s">
        <v>116</v>
      </c>
    </row>
    <row r="80" spans="1:10" hidden="1" x14ac:dyDescent="0.3">
      <c r="A80" t="str" cm="1">
        <f t="array" ref="A80">"Season " &amp; _xlfn.NUMBERVALUE(St_TextBetween(B80,"S","E"))</f>
        <v>Season 4</v>
      </c>
      <c r="B80" t="s">
        <v>117</v>
      </c>
      <c r="G80" t="str" cm="1">
        <f t="array" ref="G80">"Season " &amp; _xlfn.NUMBERVALUE(St_TextBetween(H80,"S","E"))</f>
        <v>Season 4</v>
      </c>
      <c r="H80" t="s">
        <v>117</v>
      </c>
    </row>
    <row r="81" spans="1:10" hidden="1" x14ac:dyDescent="0.3">
      <c r="A81" t="str" cm="1">
        <f t="array" ref="A81">"Season " &amp; _xlfn.NUMBERVALUE(St_TextBetween(B81,"S","E"))</f>
        <v>Season 4</v>
      </c>
      <c r="B81" t="s">
        <v>118</v>
      </c>
      <c r="G81" t="str" cm="1">
        <f t="array" ref="G81">"Season " &amp; _xlfn.NUMBERVALUE(St_TextBetween(H81,"S","E"))</f>
        <v>Season 4</v>
      </c>
      <c r="H81" t="s">
        <v>118</v>
      </c>
    </row>
    <row r="82" spans="1:10" hidden="1" x14ac:dyDescent="0.3">
      <c r="A82" t="str" cm="1">
        <f t="array" ref="A82">"Season " &amp; _xlfn.NUMBERVALUE(St_TextBetween(B82,"S","E"))</f>
        <v>Season 4</v>
      </c>
      <c r="B82" t="s">
        <v>119</v>
      </c>
      <c r="G82" t="str" cm="1">
        <f t="array" ref="G82">"Season " &amp; _xlfn.NUMBERVALUE(St_TextBetween(H82,"S","E"))</f>
        <v>Season 4</v>
      </c>
      <c r="H82" t="s">
        <v>119</v>
      </c>
    </row>
    <row r="83" spans="1:10" hidden="1" x14ac:dyDescent="0.3">
      <c r="A83" t="str" cm="1">
        <f t="array" ref="A83">"Season " &amp; _xlfn.NUMBERVALUE(St_TextBetween(B83,"S","E"))</f>
        <v>Season 4</v>
      </c>
      <c r="B83" t="s">
        <v>120</v>
      </c>
      <c r="G83" t="str" cm="1">
        <f t="array" ref="G83">"Season " &amp; _xlfn.NUMBERVALUE(St_TextBetween(H83,"S","E"))</f>
        <v>Season 4</v>
      </c>
      <c r="H83" t="s">
        <v>120</v>
      </c>
    </row>
    <row r="84" spans="1:10" hidden="1" x14ac:dyDescent="0.3">
      <c r="A84" t="str" cm="1">
        <f t="array" ref="A84">"Season " &amp; _xlfn.NUMBERVALUE(St_TextBetween(B84,"S","E"))</f>
        <v>Season 4</v>
      </c>
      <c r="B84" t="s">
        <v>121</v>
      </c>
      <c r="G84" t="str" cm="1">
        <f t="array" ref="G84">"Season " &amp; _xlfn.NUMBERVALUE(St_TextBetween(H84,"S","E"))</f>
        <v>Season 4</v>
      </c>
      <c r="H84" t="s">
        <v>121</v>
      </c>
    </row>
    <row r="85" spans="1:10" hidden="1" x14ac:dyDescent="0.3">
      <c r="A85" t="str" cm="1">
        <f t="array" ref="A85">"Season " &amp; _xlfn.NUMBERVALUE(St_TextBetween(B85,"S","E"))</f>
        <v>Season 4</v>
      </c>
      <c r="B85" t="s">
        <v>122</v>
      </c>
      <c r="G85" t="str" cm="1">
        <f t="array" ref="G85">"Season " &amp; _xlfn.NUMBERVALUE(St_TextBetween(H85,"S","E"))</f>
        <v>Season 4</v>
      </c>
      <c r="H85" t="s">
        <v>122</v>
      </c>
    </row>
    <row r="86" spans="1:10" hidden="1" x14ac:dyDescent="0.3">
      <c r="A86" t="str" cm="1">
        <f t="array" ref="A86">"Season " &amp; _xlfn.NUMBERVALUE(St_TextBetween(B86,"S","E"))</f>
        <v>Season 4</v>
      </c>
      <c r="B86" t="s">
        <v>123</v>
      </c>
      <c r="G86" t="str" cm="1">
        <f t="array" ref="G86">"Season " &amp; _xlfn.NUMBERVALUE(St_TextBetween(H86,"S","E"))</f>
        <v>Season 4</v>
      </c>
      <c r="H86" t="s">
        <v>123</v>
      </c>
    </row>
    <row r="87" spans="1:10" hidden="1" x14ac:dyDescent="0.3">
      <c r="A87" t="str" cm="1">
        <f t="array" ref="A87">"Season " &amp; _xlfn.NUMBERVALUE(St_TextBetween(B87,"S","E"))</f>
        <v>Season 4</v>
      </c>
      <c r="B87" t="s">
        <v>124</v>
      </c>
      <c r="G87" t="str" cm="1">
        <f t="array" ref="G87">"Season " &amp; _xlfn.NUMBERVALUE(St_TextBetween(H87,"S","E"))</f>
        <v>Season 4</v>
      </c>
      <c r="H87" t="s">
        <v>124</v>
      </c>
    </row>
    <row r="88" spans="1:10" hidden="1" x14ac:dyDescent="0.3">
      <c r="A88" t="str" cm="1">
        <f t="array" ref="A88">"Season " &amp; _xlfn.NUMBERVALUE(St_TextBetween(B88,"S","E"))</f>
        <v>Season 4</v>
      </c>
      <c r="B88" t="s">
        <v>125</v>
      </c>
      <c r="C88" s="23" t="s">
        <v>11</v>
      </c>
      <c r="D88" s="23" t="s">
        <v>11</v>
      </c>
      <c r="G88" t="str" cm="1">
        <f t="array" ref="G88">"Season " &amp; _xlfn.NUMBERVALUE(St_TextBetween(H88,"S","E"))</f>
        <v>Season 4</v>
      </c>
      <c r="H88" t="s">
        <v>125</v>
      </c>
      <c r="I88" s="23" t="s">
        <v>11</v>
      </c>
      <c r="J88" s="23" t="s">
        <v>11</v>
      </c>
    </row>
    <row r="89" spans="1:10" hidden="1" x14ac:dyDescent="0.3">
      <c r="A89" t="str" cm="1">
        <f t="array" ref="A89">"Season " &amp; _xlfn.NUMBERVALUE(St_TextBetween(B89,"S","E"))</f>
        <v>Season 4</v>
      </c>
      <c r="B89" t="s">
        <v>126</v>
      </c>
      <c r="C89" s="23" t="s">
        <v>11</v>
      </c>
      <c r="D89" s="23" t="s">
        <v>11</v>
      </c>
      <c r="G89" t="str" cm="1">
        <f t="array" ref="G89">"Season " &amp; _xlfn.NUMBERVALUE(St_TextBetween(H89,"S","E"))</f>
        <v>Season 4</v>
      </c>
      <c r="H89" t="s">
        <v>126</v>
      </c>
      <c r="I89" s="23" t="s">
        <v>11</v>
      </c>
      <c r="J89" s="23" t="s">
        <v>11</v>
      </c>
    </row>
    <row r="90" spans="1:10" ht="43.2" hidden="1" x14ac:dyDescent="0.3">
      <c r="A90" t="str" cm="1">
        <f t="array" ref="A90">"Season " &amp; _xlfn.NUMBERVALUE(St_TextBetween(B90,"S","E"))</f>
        <v>Season 5</v>
      </c>
      <c r="B90" t="s">
        <v>23</v>
      </c>
      <c r="C90" s="23" t="s">
        <v>43</v>
      </c>
      <c r="G90" t="str" cm="1">
        <f t="array" ref="G90">"Season " &amp; _xlfn.NUMBERVALUE(St_TextBetween(H90,"S","E"))</f>
        <v>Season 5</v>
      </c>
      <c r="H90" t="s">
        <v>23</v>
      </c>
      <c r="I90" s="23" t="s">
        <v>43</v>
      </c>
    </row>
    <row r="91" spans="1:10" hidden="1" x14ac:dyDescent="0.3">
      <c r="A91" t="str" cm="1">
        <f t="array" ref="A91">"Season " &amp; _xlfn.NUMBERVALUE(St_TextBetween(B91,"S","E"))</f>
        <v>Season 5</v>
      </c>
      <c r="B91" t="s">
        <v>24</v>
      </c>
      <c r="C91" s="23" t="s">
        <v>44</v>
      </c>
      <c r="G91" t="str" cm="1">
        <f t="array" ref="G91">"Season " &amp; _xlfn.NUMBERVALUE(St_TextBetween(H91,"S","E"))</f>
        <v>Season 5</v>
      </c>
      <c r="H91" t="s">
        <v>24</v>
      </c>
      <c r="I91" s="23" t="s">
        <v>44</v>
      </c>
    </row>
    <row r="92" spans="1:10" hidden="1" x14ac:dyDescent="0.3">
      <c r="A92" t="str" cm="1">
        <f t="array" ref="A92">"Season " &amp; _xlfn.NUMBERVALUE(St_TextBetween(B92,"S","E"))</f>
        <v>Season 5</v>
      </c>
      <c r="B92" t="s">
        <v>25</v>
      </c>
      <c r="C92" s="23" t="s">
        <v>11</v>
      </c>
      <c r="D92" s="23" t="s">
        <v>11</v>
      </c>
      <c r="G92" t="str" cm="1">
        <f t="array" ref="G92">"Season " &amp; _xlfn.NUMBERVALUE(St_TextBetween(H92,"S","E"))</f>
        <v>Season 5</v>
      </c>
      <c r="H92" t="s">
        <v>25</v>
      </c>
      <c r="I92" s="23" t="s">
        <v>11</v>
      </c>
      <c r="J92" s="23" t="s">
        <v>11</v>
      </c>
    </row>
    <row r="93" spans="1:10" hidden="1" x14ac:dyDescent="0.3">
      <c r="A93" t="str" cm="1">
        <f t="array" ref="A93">"Season " &amp; _xlfn.NUMBERVALUE(St_TextBetween(B93,"S","E"))</f>
        <v>Season 5</v>
      </c>
      <c r="B93" t="s">
        <v>26</v>
      </c>
      <c r="C93" s="23" t="s">
        <v>11</v>
      </c>
      <c r="D93" s="23" t="s">
        <v>11</v>
      </c>
      <c r="G93" t="str" cm="1">
        <f t="array" ref="G93">"Season " &amp; _xlfn.NUMBERVALUE(St_TextBetween(H93,"S","E"))</f>
        <v>Season 5</v>
      </c>
      <c r="H93" t="s">
        <v>26</v>
      </c>
      <c r="I93" s="23" t="s">
        <v>11</v>
      </c>
      <c r="J93" s="23" t="s">
        <v>11</v>
      </c>
    </row>
    <row r="94" spans="1:10" hidden="1" x14ac:dyDescent="0.3">
      <c r="A94" t="str" cm="1">
        <f t="array" ref="A94">"Season " &amp; _xlfn.NUMBERVALUE(St_TextBetween(B94,"S","E"))</f>
        <v>Season 5</v>
      </c>
      <c r="B94" t="s">
        <v>27</v>
      </c>
      <c r="C94" s="23" t="s">
        <v>11</v>
      </c>
      <c r="D94" s="23" t="s">
        <v>11</v>
      </c>
      <c r="G94" t="str" cm="1">
        <f t="array" ref="G94">"Season " &amp; _xlfn.NUMBERVALUE(St_TextBetween(H94,"S","E"))</f>
        <v>Season 5</v>
      </c>
      <c r="H94" t="s">
        <v>27</v>
      </c>
      <c r="I94" s="23" t="s">
        <v>11</v>
      </c>
      <c r="J94" s="23" t="s">
        <v>11</v>
      </c>
    </row>
    <row r="95" spans="1:10" hidden="1" x14ac:dyDescent="0.3">
      <c r="A95" t="str" cm="1">
        <f t="array" ref="A95">"Season " &amp; _xlfn.NUMBERVALUE(St_TextBetween(B95,"S","E"))</f>
        <v>Season 5</v>
      </c>
      <c r="B95" t="s">
        <v>28</v>
      </c>
      <c r="C95" s="23" t="s">
        <v>11</v>
      </c>
      <c r="D95" s="23" t="s">
        <v>11</v>
      </c>
      <c r="G95" t="str" cm="1">
        <f t="array" ref="G95">"Season " &amp; _xlfn.NUMBERVALUE(St_TextBetween(H95,"S","E"))</f>
        <v>Season 5</v>
      </c>
      <c r="H95" t="s">
        <v>28</v>
      </c>
      <c r="I95" s="23" t="s">
        <v>11</v>
      </c>
      <c r="J95" s="23" t="s">
        <v>11</v>
      </c>
    </row>
    <row r="96" spans="1:10" hidden="1" x14ac:dyDescent="0.3">
      <c r="A96" t="str" cm="1">
        <f t="array" ref="A96">"Season " &amp; _xlfn.NUMBERVALUE(St_TextBetween(B96,"S","E"))</f>
        <v>Season 5</v>
      </c>
      <c r="B96" t="s">
        <v>29</v>
      </c>
      <c r="C96" s="23" t="s">
        <v>11</v>
      </c>
      <c r="D96" s="23" t="s">
        <v>11</v>
      </c>
      <c r="G96" t="str" cm="1">
        <f t="array" ref="G96">"Season " &amp; _xlfn.NUMBERVALUE(St_TextBetween(H96,"S","E"))</f>
        <v>Season 5</v>
      </c>
      <c r="H96" t="s">
        <v>29</v>
      </c>
      <c r="I96" s="23" t="s">
        <v>11</v>
      </c>
      <c r="J96" s="23" t="s">
        <v>11</v>
      </c>
    </row>
    <row r="97" spans="1:10" hidden="1" x14ac:dyDescent="0.3">
      <c r="A97" t="str" cm="1">
        <f t="array" ref="A97">"Season " &amp; _xlfn.NUMBERVALUE(St_TextBetween(B97,"S","E"))</f>
        <v>Season 5</v>
      </c>
      <c r="B97" t="s">
        <v>30</v>
      </c>
      <c r="C97" s="23" t="s">
        <v>44</v>
      </c>
      <c r="D97" s="23" t="s">
        <v>44</v>
      </c>
      <c r="G97" t="str" cm="1">
        <f t="array" ref="G97">"Season " &amp; _xlfn.NUMBERVALUE(St_TextBetween(H97,"S","E"))</f>
        <v>Season 5</v>
      </c>
      <c r="H97" t="s">
        <v>30</v>
      </c>
      <c r="I97" s="23" t="s">
        <v>44</v>
      </c>
      <c r="J97" s="23" t="s">
        <v>44</v>
      </c>
    </row>
    <row r="98" spans="1:10" ht="28.8" hidden="1" x14ac:dyDescent="0.3">
      <c r="A98" t="str" cm="1">
        <f t="array" ref="A98">"Season " &amp; _xlfn.NUMBERVALUE(St_TextBetween(B98,"S","E"))</f>
        <v>Season 5</v>
      </c>
      <c r="B98" t="s">
        <v>31</v>
      </c>
      <c r="C98" s="23" t="s">
        <v>45</v>
      </c>
      <c r="G98" t="str" cm="1">
        <f t="array" ref="G98">"Season " &amp; _xlfn.NUMBERVALUE(St_TextBetween(H98,"S","E"))</f>
        <v>Season 5</v>
      </c>
      <c r="H98" t="s">
        <v>31</v>
      </c>
      <c r="I98" s="23" t="s">
        <v>45</v>
      </c>
    </row>
    <row r="99" spans="1:10" hidden="1" x14ac:dyDescent="0.3">
      <c r="A99" t="str" cm="1">
        <f t="array" ref="A99">"Season " &amp; _xlfn.NUMBERVALUE(St_TextBetween(B99,"S","E"))</f>
        <v>Season 5</v>
      </c>
      <c r="B99" t="s">
        <v>32</v>
      </c>
      <c r="C99" s="23" t="s">
        <v>11</v>
      </c>
      <c r="D99" s="23" t="s">
        <v>11</v>
      </c>
      <c r="G99" t="str" cm="1">
        <f t="array" ref="G99">"Season " &amp; _xlfn.NUMBERVALUE(St_TextBetween(H99,"S","E"))</f>
        <v>Season 5</v>
      </c>
      <c r="H99" t="s">
        <v>32</v>
      </c>
      <c r="I99" s="23" t="s">
        <v>11</v>
      </c>
      <c r="J99" s="23" t="s">
        <v>11</v>
      </c>
    </row>
    <row r="100" spans="1:10" hidden="1" x14ac:dyDescent="0.3">
      <c r="A100" t="str" cm="1">
        <f t="array" ref="A100">"Season " &amp; _xlfn.NUMBERVALUE(St_TextBetween(B100,"S","E"))</f>
        <v>Season 5</v>
      </c>
      <c r="B100" t="s">
        <v>33</v>
      </c>
      <c r="C100" s="23" t="s">
        <v>11</v>
      </c>
      <c r="D100" s="23" t="s">
        <v>11</v>
      </c>
      <c r="G100" t="str" cm="1">
        <f t="array" ref="G100">"Season " &amp; _xlfn.NUMBERVALUE(St_TextBetween(H100,"S","E"))</f>
        <v>Season 5</v>
      </c>
      <c r="H100" t="s">
        <v>33</v>
      </c>
      <c r="I100" s="23" t="s">
        <v>11</v>
      </c>
      <c r="J100" s="23" t="s">
        <v>11</v>
      </c>
    </row>
    <row r="101" spans="1:10" hidden="1" x14ac:dyDescent="0.3">
      <c r="A101" t="str" cm="1">
        <f t="array" ref="A101">"Season " &amp; _xlfn.NUMBERVALUE(St_TextBetween(B101,"S","E"))</f>
        <v>Season 5</v>
      </c>
      <c r="B101" t="s">
        <v>34</v>
      </c>
      <c r="C101" s="23" t="s">
        <v>46</v>
      </c>
      <c r="G101" t="str" cm="1">
        <f t="array" ref="G101">"Season " &amp; _xlfn.NUMBERVALUE(St_TextBetween(H101,"S","E"))</f>
        <v>Season 5</v>
      </c>
      <c r="H101" t="s">
        <v>34</v>
      </c>
      <c r="I101" s="23" t="s">
        <v>46</v>
      </c>
    </row>
    <row r="102" spans="1:10" hidden="1" x14ac:dyDescent="0.3">
      <c r="A102" t="str" cm="1">
        <f t="array" ref="A102">"Season " &amp; _xlfn.NUMBERVALUE(St_TextBetween(B102,"S","E"))</f>
        <v>Season 5</v>
      </c>
      <c r="B102" t="s">
        <v>35</v>
      </c>
      <c r="C102" s="23" t="s">
        <v>11</v>
      </c>
      <c r="D102" s="23" t="s">
        <v>11</v>
      </c>
      <c r="G102" t="str" cm="1">
        <f t="array" ref="G102">"Season " &amp; _xlfn.NUMBERVALUE(St_TextBetween(H102,"S","E"))</f>
        <v>Season 5</v>
      </c>
      <c r="H102" t="s">
        <v>35</v>
      </c>
      <c r="I102" s="23" t="s">
        <v>11</v>
      </c>
      <c r="J102" s="23" t="s">
        <v>11</v>
      </c>
    </row>
    <row r="103" spans="1:10" hidden="1" x14ac:dyDescent="0.3">
      <c r="A103" t="str" cm="1">
        <f t="array" ref="A103">"Season " &amp; _xlfn.NUMBERVALUE(St_TextBetween(B103,"S","E"))</f>
        <v>Season 5</v>
      </c>
      <c r="B103" t="s">
        <v>36</v>
      </c>
      <c r="C103" s="23" t="s">
        <v>11</v>
      </c>
      <c r="D103" s="23" t="s">
        <v>11</v>
      </c>
      <c r="G103" t="str" cm="1">
        <f t="array" ref="G103">"Season " &amp; _xlfn.NUMBERVALUE(St_TextBetween(H103,"S","E"))</f>
        <v>Season 5</v>
      </c>
      <c r="H103" t="s">
        <v>36</v>
      </c>
      <c r="I103" s="23" t="s">
        <v>11</v>
      </c>
      <c r="J103" s="23" t="s">
        <v>11</v>
      </c>
    </row>
    <row r="104" spans="1:10" hidden="1" x14ac:dyDescent="0.3">
      <c r="A104" t="str" cm="1">
        <f t="array" ref="A104">"Season " &amp; _xlfn.NUMBERVALUE(St_TextBetween(B104,"S","E"))</f>
        <v>Season 5</v>
      </c>
      <c r="B104" t="s">
        <v>37</v>
      </c>
      <c r="C104" s="23" t="s">
        <v>11</v>
      </c>
      <c r="D104" s="23" t="s">
        <v>11</v>
      </c>
      <c r="G104" t="str" cm="1">
        <f t="array" ref="G104">"Season " &amp; _xlfn.NUMBERVALUE(St_TextBetween(H104,"S","E"))</f>
        <v>Season 5</v>
      </c>
      <c r="H104" t="s">
        <v>37</v>
      </c>
      <c r="I104" s="23" t="s">
        <v>11</v>
      </c>
      <c r="J104" s="23" t="s">
        <v>11</v>
      </c>
    </row>
    <row r="105" spans="1:10" hidden="1" x14ac:dyDescent="0.3">
      <c r="A105" t="str" cm="1">
        <f t="array" ref="A105">"Season " &amp; _xlfn.NUMBERVALUE(St_TextBetween(B105,"S","E"))</f>
        <v>Season 5</v>
      </c>
      <c r="B105" t="s">
        <v>38</v>
      </c>
      <c r="C105" s="23" t="s">
        <v>11</v>
      </c>
      <c r="D105" s="23" t="s">
        <v>11</v>
      </c>
      <c r="G105" t="str" cm="1">
        <f t="array" ref="G105">"Season " &amp; _xlfn.NUMBERVALUE(St_TextBetween(H105,"S","E"))</f>
        <v>Season 5</v>
      </c>
      <c r="H105" t="s">
        <v>38</v>
      </c>
      <c r="I105" s="23" t="s">
        <v>11</v>
      </c>
      <c r="J105" s="23" t="s">
        <v>11</v>
      </c>
    </row>
    <row r="106" spans="1:10" hidden="1" x14ac:dyDescent="0.3">
      <c r="A106" t="str" cm="1">
        <f t="array" ref="A106">"Season " &amp; _xlfn.NUMBERVALUE(St_TextBetween(B106,"S","E"))</f>
        <v>Season 5</v>
      </c>
      <c r="B106" t="s">
        <v>39</v>
      </c>
      <c r="C106" s="23" t="s">
        <v>47</v>
      </c>
      <c r="D106" s="23" t="s">
        <v>44</v>
      </c>
      <c r="G106" t="str" cm="1">
        <f t="array" ref="G106">"Season " &amp; _xlfn.NUMBERVALUE(St_TextBetween(H106,"S","E"))</f>
        <v>Season 5</v>
      </c>
      <c r="H106" t="s">
        <v>39</v>
      </c>
      <c r="I106" s="23" t="s">
        <v>47</v>
      </c>
      <c r="J106" s="23" t="s">
        <v>44</v>
      </c>
    </row>
    <row r="107" spans="1:10" hidden="1" x14ac:dyDescent="0.3">
      <c r="A107" t="str" cm="1">
        <f t="array" ref="A107">"Season " &amp; _xlfn.NUMBERVALUE(St_TextBetween(B107,"S","E"))</f>
        <v>Season 5</v>
      </c>
      <c r="B107" t="s">
        <v>40</v>
      </c>
      <c r="C107" s="23" t="s">
        <v>47</v>
      </c>
      <c r="D107" s="23" t="s">
        <v>44</v>
      </c>
      <c r="G107" t="str" cm="1">
        <f t="array" ref="G107">"Season " &amp; _xlfn.NUMBERVALUE(St_TextBetween(H107,"S","E"))</f>
        <v>Season 5</v>
      </c>
      <c r="H107" t="s">
        <v>40</v>
      </c>
      <c r="I107" s="23" t="s">
        <v>47</v>
      </c>
      <c r="J107" s="23" t="s">
        <v>44</v>
      </c>
    </row>
    <row r="108" spans="1:10" hidden="1" x14ac:dyDescent="0.3">
      <c r="A108" t="str" cm="1">
        <f t="array" ref="A108">"Season " &amp; _xlfn.NUMBERVALUE(St_TextBetween(B108,"S","E"))</f>
        <v>Season 5</v>
      </c>
      <c r="B108" t="s">
        <v>41</v>
      </c>
      <c r="C108" s="23" t="s">
        <v>46</v>
      </c>
      <c r="D108" s="23" t="s">
        <v>44</v>
      </c>
      <c r="G108" t="str" cm="1">
        <f t="array" ref="G108">"Season " &amp; _xlfn.NUMBERVALUE(St_TextBetween(H108,"S","E"))</f>
        <v>Season 5</v>
      </c>
      <c r="H108" t="s">
        <v>41</v>
      </c>
      <c r="I108" s="23" t="s">
        <v>46</v>
      </c>
      <c r="J108" s="23" t="s">
        <v>44</v>
      </c>
    </row>
    <row r="109" spans="1:10" hidden="1" x14ac:dyDescent="0.3">
      <c r="A109" t="str" cm="1">
        <f t="array" ref="A109">"Season " &amp; _xlfn.NUMBERVALUE(St_TextBetween(B109,"S","E"))</f>
        <v>Season 5</v>
      </c>
      <c r="B109" t="s">
        <v>42</v>
      </c>
      <c r="C109" s="23" t="s">
        <v>46</v>
      </c>
      <c r="D109" s="23" t="s">
        <v>44</v>
      </c>
      <c r="G109" t="str" cm="1">
        <f t="array" ref="G109">"Season " &amp; _xlfn.NUMBERVALUE(St_TextBetween(H109,"S","E"))</f>
        <v>Season 5</v>
      </c>
      <c r="H109" t="s">
        <v>42</v>
      </c>
      <c r="I109" s="23" t="s">
        <v>46</v>
      </c>
      <c r="J109" s="23" t="s">
        <v>44</v>
      </c>
    </row>
    <row r="110" spans="1:10" hidden="1" x14ac:dyDescent="0.3">
      <c r="A110" t="str" cm="1">
        <f t="array" ref="A110">"Season " &amp; _xlfn.NUMBERVALUE(St_TextBetween(B110,"S","E"))</f>
        <v>Season 5</v>
      </c>
      <c r="B110" t="s">
        <v>48</v>
      </c>
      <c r="C110" s="23" t="s">
        <v>11</v>
      </c>
      <c r="D110" s="23" t="s">
        <v>11</v>
      </c>
      <c r="G110" t="str" cm="1">
        <f t="array" ref="G110">"Season " &amp; _xlfn.NUMBERVALUE(St_TextBetween(H110,"S","E"))</f>
        <v>Season 5</v>
      </c>
      <c r="H110" t="s">
        <v>48</v>
      </c>
      <c r="I110" s="23" t="s">
        <v>11</v>
      </c>
      <c r="J110" s="23" t="s">
        <v>11</v>
      </c>
    </row>
    <row r="111" spans="1:10" hidden="1" x14ac:dyDescent="0.3">
      <c r="A111" t="str" cm="1">
        <f t="array" ref="A111">"Season " &amp; _xlfn.NUMBERVALUE(St_TextBetween(B111,"S","E"))</f>
        <v>Season 5</v>
      </c>
      <c r="B111" t="s">
        <v>49</v>
      </c>
      <c r="C111" s="23" t="s">
        <v>46</v>
      </c>
      <c r="D111" s="23" t="s">
        <v>44</v>
      </c>
      <c r="G111" t="str" cm="1">
        <f t="array" ref="G111">"Season " &amp; _xlfn.NUMBERVALUE(St_TextBetween(H111,"S","E"))</f>
        <v>Season 5</v>
      </c>
      <c r="H111" t="s">
        <v>49</v>
      </c>
      <c r="I111" s="23" t="s">
        <v>46</v>
      </c>
      <c r="J111" s="23" t="s">
        <v>44</v>
      </c>
    </row>
    <row r="112" spans="1:10" hidden="1" x14ac:dyDescent="0.3">
      <c r="A112" t="str" cm="1">
        <f t="array" ref="A112">"Season " &amp; _xlfn.NUMBERVALUE(St_TextBetween(B112,"S","E"))</f>
        <v>Season 5</v>
      </c>
      <c r="B112" t="s">
        <v>50</v>
      </c>
      <c r="C112" s="23" t="s">
        <v>46</v>
      </c>
      <c r="D112" s="23" t="s">
        <v>44</v>
      </c>
      <c r="G112" t="str" cm="1">
        <f t="array" ref="G112">"Season " &amp; _xlfn.NUMBERVALUE(St_TextBetween(H112,"S","E"))</f>
        <v>Season 5</v>
      </c>
      <c r="H112" t="s">
        <v>50</v>
      </c>
      <c r="I112" s="23" t="s">
        <v>46</v>
      </c>
      <c r="J112" s="23" t="s">
        <v>44</v>
      </c>
    </row>
    <row r="113" spans="1:10" hidden="1" x14ac:dyDescent="0.3">
      <c r="A113" t="str" cm="1">
        <f t="array" ref="A113">"Season " &amp; _xlfn.NUMBERVALUE(St_TextBetween(B113,"S","E"))</f>
        <v>Season 5</v>
      </c>
      <c r="B113" t="s">
        <v>51</v>
      </c>
      <c r="C113" s="23" t="s">
        <v>11</v>
      </c>
      <c r="D113" s="23" t="s">
        <v>11</v>
      </c>
      <c r="G113" t="str" cm="1">
        <f t="array" ref="G113">"Season " &amp; _xlfn.NUMBERVALUE(St_TextBetween(H113,"S","E"))</f>
        <v>Season 5</v>
      </c>
      <c r="H113" t="s">
        <v>51</v>
      </c>
      <c r="I113" s="23" t="s">
        <v>11</v>
      </c>
      <c r="J113" s="23" t="s">
        <v>11</v>
      </c>
    </row>
    <row r="114" spans="1:10" ht="28.8" hidden="1" x14ac:dyDescent="0.3">
      <c r="A114" t="str" cm="1">
        <f t="array" ref="A114">"Season " &amp; _xlfn.NUMBERVALUE(St_TextBetween(B114,"S","E"))</f>
        <v>Season 6</v>
      </c>
      <c r="B114" t="s">
        <v>52</v>
      </c>
      <c r="C114" s="23" t="s">
        <v>308</v>
      </c>
      <c r="D114" s="23" t="s">
        <v>44</v>
      </c>
      <c r="G114" t="str" cm="1">
        <f t="array" ref="G114">"Season " &amp; _xlfn.NUMBERVALUE(St_TextBetween(H114,"S","E"))</f>
        <v>Season 6</v>
      </c>
      <c r="H114" t="s">
        <v>52</v>
      </c>
      <c r="I114" s="23" t="s">
        <v>308</v>
      </c>
      <c r="J114" s="23" t="s">
        <v>44</v>
      </c>
    </row>
    <row r="115" spans="1:10" ht="28.8" hidden="1" x14ac:dyDescent="0.3">
      <c r="A115" t="str" cm="1">
        <f t="array" ref="A115">"Season " &amp; _xlfn.NUMBERVALUE(St_TextBetween(B115,"S","E"))</f>
        <v>Season 6</v>
      </c>
      <c r="B115" t="s">
        <v>53</v>
      </c>
      <c r="C115" s="23" t="s">
        <v>309</v>
      </c>
      <c r="D115" s="23" t="s">
        <v>44</v>
      </c>
      <c r="G115" t="str" cm="1">
        <f t="array" ref="G115">"Season " &amp; _xlfn.NUMBERVALUE(St_TextBetween(H115,"S","E"))</f>
        <v>Season 6</v>
      </c>
      <c r="H115" t="s">
        <v>53</v>
      </c>
      <c r="I115" s="23" t="s">
        <v>309</v>
      </c>
      <c r="J115" s="23" t="s">
        <v>44</v>
      </c>
    </row>
    <row r="116" spans="1:10" ht="28.8" hidden="1" x14ac:dyDescent="0.3">
      <c r="A116" t="str" cm="1">
        <f t="array" ref="A116">"Season " &amp; _xlfn.NUMBERVALUE(St_TextBetween(B116,"S","E"))</f>
        <v>Season 6</v>
      </c>
      <c r="B116" t="s">
        <v>54</v>
      </c>
      <c r="C116" s="23" t="s">
        <v>309</v>
      </c>
      <c r="D116" s="23" t="s">
        <v>44</v>
      </c>
      <c r="G116" t="str" cm="1">
        <f t="array" ref="G116">"Season " &amp; _xlfn.NUMBERVALUE(St_TextBetween(H116,"S","E"))</f>
        <v>Season 6</v>
      </c>
      <c r="H116" t="s">
        <v>54</v>
      </c>
      <c r="I116" s="23" t="s">
        <v>309</v>
      </c>
      <c r="J116" s="23" t="s">
        <v>44</v>
      </c>
    </row>
    <row r="117" spans="1:10" hidden="1" x14ac:dyDescent="0.3">
      <c r="A117" t="str" cm="1">
        <f t="array" ref="A117">"Season " &amp; _xlfn.NUMBERVALUE(St_TextBetween(B117,"S","E"))</f>
        <v>Season 6</v>
      </c>
      <c r="B117" t="s">
        <v>55</v>
      </c>
      <c r="C117" s="23" t="s">
        <v>11</v>
      </c>
      <c r="D117" s="23" t="s">
        <v>11</v>
      </c>
      <c r="G117" t="str" cm="1">
        <f t="array" ref="G117">"Season " &amp; _xlfn.NUMBERVALUE(St_TextBetween(H117,"S","E"))</f>
        <v>Season 6</v>
      </c>
      <c r="H117" t="s">
        <v>55</v>
      </c>
      <c r="I117" s="23" t="s">
        <v>11</v>
      </c>
      <c r="J117" s="23" t="s">
        <v>11</v>
      </c>
    </row>
    <row r="118" spans="1:10" hidden="1" x14ac:dyDescent="0.3">
      <c r="A118" t="str" cm="1">
        <f t="array" ref="A118">"Season " &amp; _xlfn.NUMBERVALUE(St_TextBetween(B118,"S","E"))</f>
        <v>Season 6</v>
      </c>
      <c r="B118" t="s">
        <v>56</v>
      </c>
      <c r="C118" s="23" t="s">
        <v>11</v>
      </c>
      <c r="D118" s="23" t="s">
        <v>11</v>
      </c>
      <c r="G118" t="str" cm="1">
        <f t="array" ref="G118">"Season " &amp; _xlfn.NUMBERVALUE(St_TextBetween(H118,"S","E"))</f>
        <v>Season 6</v>
      </c>
      <c r="H118" t="s">
        <v>56</v>
      </c>
      <c r="I118" s="23" t="s">
        <v>11</v>
      </c>
      <c r="J118" s="23" t="s">
        <v>11</v>
      </c>
    </row>
    <row r="119" spans="1:10" hidden="1" x14ac:dyDescent="0.3">
      <c r="A119" t="str" cm="1">
        <f t="array" ref="A119">"Season " &amp; _xlfn.NUMBERVALUE(St_TextBetween(B119,"S","E"))</f>
        <v>Season 6</v>
      </c>
      <c r="B119" t="s">
        <v>57</v>
      </c>
      <c r="G119" t="str" cm="1">
        <f t="array" ref="G119">"Season " &amp; _xlfn.NUMBERVALUE(St_TextBetween(H119,"S","E"))</f>
        <v>Season 6</v>
      </c>
      <c r="H119" t="s">
        <v>57</v>
      </c>
    </row>
    <row r="120" spans="1:10" hidden="1" x14ac:dyDescent="0.3">
      <c r="A120" t="str" cm="1">
        <f t="array" ref="A120">"Season " &amp; _xlfn.NUMBERVALUE(St_TextBetween(B120,"S","E"))</f>
        <v>Season 6</v>
      </c>
      <c r="B120" t="s">
        <v>58</v>
      </c>
      <c r="G120" t="str" cm="1">
        <f t="array" ref="G120">"Season " &amp; _xlfn.NUMBERVALUE(St_TextBetween(H120,"S","E"))</f>
        <v>Season 6</v>
      </c>
      <c r="H120" t="s">
        <v>58</v>
      </c>
    </row>
    <row r="121" spans="1:10" hidden="1" x14ac:dyDescent="0.3">
      <c r="A121" t="str" cm="1">
        <f t="array" ref="A121">"Season " &amp; _xlfn.NUMBERVALUE(St_TextBetween(B121,"S","E"))</f>
        <v>Season 6</v>
      </c>
      <c r="B121" t="s">
        <v>59</v>
      </c>
      <c r="G121" t="str" cm="1">
        <f t="array" ref="G121">"Season " &amp; _xlfn.NUMBERVALUE(St_TextBetween(H121,"S","E"))</f>
        <v>Season 6</v>
      </c>
      <c r="H121" t="s">
        <v>59</v>
      </c>
    </row>
    <row r="122" spans="1:10" hidden="1" x14ac:dyDescent="0.3">
      <c r="A122" t="str" cm="1">
        <f t="array" ref="A122">"Season " &amp; _xlfn.NUMBERVALUE(St_TextBetween(B122,"S","E"))</f>
        <v>Season 6</v>
      </c>
      <c r="B122" t="s">
        <v>60</v>
      </c>
      <c r="G122" t="str" cm="1">
        <f t="array" ref="G122">"Season " &amp; _xlfn.NUMBERVALUE(St_TextBetween(H122,"S","E"))</f>
        <v>Season 6</v>
      </c>
      <c r="H122" t="s">
        <v>60</v>
      </c>
    </row>
    <row r="123" spans="1:10" hidden="1" x14ac:dyDescent="0.3">
      <c r="A123" t="str" cm="1">
        <f t="array" ref="A123">"Season " &amp; _xlfn.NUMBERVALUE(St_TextBetween(B123,"S","E"))</f>
        <v>Season 6</v>
      </c>
      <c r="B123" t="s">
        <v>61</v>
      </c>
      <c r="G123" t="str" cm="1">
        <f t="array" ref="G123">"Season " &amp; _xlfn.NUMBERVALUE(St_TextBetween(H123,"S","E"))</f>
        <v>Season 6</v>
      </c>
      <c r="H123" t="s">
        <v>61</v>
      </c>
    </row>
    <row r="124" spans="1:10" hidden="1" x14ac:dyDescent="0.3">
      <c r="A124" t="str" cm="1">
        <f t="array" ref="A124">"Season " &amp; _xlfn.NUMBERVALUE(St_TextBetween(B124,"S","E"))</f>
        <v>Season 6</v>
      </c>
      <c r="B124" t="s">
        <v>62</v>
      </c>
      <c r="G124" t="str" cm="1">
        <f t="array" ref="G124">"Season " &amp; _xlfn.NUMBERVALUE(St_TextBetween(H124,"S","E"))</f>
        <v>Season 6</v>
      </c>
      <c r="H124" t="s">
        <v>62</v>
      </c>
    </row>
    <row r="125" spans="1:10" hidden="1" x14ac:dyDescent="0.3">
      <c r="A125" t="str" cm="1">
        <f t="array" ref="A125">"Season " &amp; _xlfn.NUMBERVALUE(St_TextBetween(B125,"S","E"))</f>
        <v>Season 6</v>
      </c>
      <c r="B125" t="s">
        <v>63</v>
      </c>
      <c r="G125" t="str" cm="1">
        <f t="array" ref="G125">"Season " &amp; _xlfn.NUMBERVALUE(St_TextBetween(H125,"S","E"))</f>
        <v>Season 6</v>
      </c>
      <c r="H125" t="s">
        <v>63</v>
      </c>
    </row>
    <row r="126" spans="1:10" hidden="1" x14ac:dyDescent="0.3">
      <c r="A126" t="str" cm="1">
        <f t="array" ref="A126">"Season " &amp; _xlfn.NUMBERVALUE(St_TextBetween(B126,"S","E"))</f>
        <v>Season 6</v>
      </c>
      <c r="B126" t="s">
        <v>64</v>
      </c>
      <c r="G126" t="str" cm="1">
        <f t="array" ref="G126">"Season " &amp; _xlfn.NUMBERVALUE(St_TextBetween(H126,"S","E"))</f>
        <v>Season 6</v>
      </c>
      <c r="H126" t="s">
        <v>64</v>
      </c>
    </row>
    <row r="127" spans="1:10" hidden="1" x14ac:dyDescent="0.3">
      <c r="A127" t="str" cm="1">
        <f t="array" ref="A127">"Season " &amp; _xlfn.NUMBERVALUE(St_TextBetween(B127,"S","E"))</f>
        <v>Season 6</v>
      </c>
      <c r="B127" t="s">
        <v>65</v>
      </c>
      <c r="C127" s="23" t="s">
        <v>11</v>
      </c>
      <c r="D127" s="23" t="s">
        <v>11</v>
      </c>
      <c r="G127" t="str" cm="1">
        <f t="array" ref="G127">"Season " &amp; _xlfn.NUMBERVALUE(St_TextBetween(H127,"S","E"))</f>
        <v>Season 6</v>
      </c>
      <c r="H127" t="s">
        <v>65</v>
      </c>
      <c r="I127" s="23" t="s">
        <v>11</v>
      </c>
      <c r="J127" s="23" t="s">
        <v>11</v>
      </c>
    </row>
    <row r="128" spans="1:10" hidden="1" x14ac:dyDescent="0.3">
      <c r="A128" t="str" cm="1">
        <f t="array" ref="A128">"Season " &amp; _xlfn.NUMBERVALUE(St_TextBetween(B128,"S","E"))</f>
        <v>Season 6</v>
      </c>
      <c r="B128" t="s">
        <v>66</v>
      </c>
      <c r="C128" s="23" t="s">
        <v>11</v>
      </c>
      <c r="D128" s="23" t="s">
        <v>11</v>
      </c>
      <c r="G128" t="str" cm="1">
        <f t="array" ref="G128">"Season " &amp; _xlfn.NUMBERVALUE(St_TextBetween(H128,"S","E"))</f>
        <v>Season 6</v>
      </c>
      <c r="H128" t="s">
        <v>66</v>
      </c>
      <c r="I128" s="23" t="s">
        <v>11</v>
      </c>
      <c r="J128" s="23" t="s">
        <v>11</v>
      </c>
    </row>
    <row r="129" spans="1:10" hidden="1" x14ac:dyDescent="0.3">
      <c r="A129" t="str" cm="1">
        <f t="array" ref="A129">"Season " &amp; _xlfn.NUMBERVALUE(St_TextBetween(B129,"S","E"))</f>
        <v>Season 6</v>
      </c>
      <c r="B129" t="s">
        <v>67</v>
      </c>
      <c r="C129" s="23" t="s">
        <v>11</v>
      </c>
      <c r="D129" s="23" t="s">
        <v>11</v>
      </c>
      <c r="G129" t="str" cm="1">
        <f t="array" ref="G129">"Season " &amp; _xlfn.NUMBERVALUE(St_TextBetween(H129,"S","E"))</f>
        <v>Season 6</v>
      </c>
      <c r="H129" t="s">
        <v>67</v>
      </c>
      <c r="I129" s="23" t="s">
        <v>11</v>
      </c>
      <c r="J129" s="23" t="s">
        <v>11</v>
      </c>
    </row>
    <row r="130" spans="1:10" hidden="1" x14ac:dyDescent="0.3">
      <c r="A130" t="str" cm="1">
        <f t="array" ref="A130">"Season " &amp; _xlfn.NUMBERVALUE(St_TextBetween(B130,"S","E"))</f>
        <v>Season 6</v>
      </c>
      <c r="B130" t="s">
        <v>68</v>
      </c>
      <c r="C130" s="23" t="s">
        <v>11</v>
      </c>
      <c r="D130" s="23" t="s">
        <v>11</v>
      </c>
      <c r="G130" t="str" cm="1">
        <f t="array" ref="G130">"Season " &amp; _xlfn.NUMBERVALUE(St_TextBetween(H130,"S","E"))</f>
        <v>Season 6</v>
      </c>
      <c r="H130" t="s">
        <v>68</v>
      </c>
      <c r="I130" s="23" t="s">
        <v>11</v>
      </c>
      <c r="J130" s="23" t="s">
        <v>11</v>
      </c>
    </row>
    <row r="131" spans="1:10" hidden="1" x14ac:dyDescent="0.3">
      <c r="A131" t="str" cm="1">
        <f t="array" ref="A131">"Season " &amp; _xlfn.NUMBERVALUE(St_TextBetween(B131,"S","E"))</f>
        <v>Season 6</v>
      </c>
      <c r="B131" t="s">
        <v>69</v>
      </c>
      <c r="C131" s="23" t="s">
        <v>11</v>
      </c>
      <c r="D131" s="23" t="s">
        <v>11</v>
      </c>
      <c r="G131" t="str" cm="1">
        <f t="array" ref="G131">"Season " &amp; _xlfn.NUMBERVALUE(St_TextBetween(H131,"S","E"))</f>
        <v>Season 6</v>
      </c>
      <c r="H131" t="s">
        <v>69</v>
      </c>
      <c r="I131" s="23" t="s">
        <v>11</v>
      </c>
      <c r="J131" s="23" t="s">
        <v>11</v>
      </c>
    </row>
    <row r="132" spans="1:10" hidden="1" x14ac:dyDescent="0.3">
      <c r="A132" t="str" cm="1">
        <f t="array" ref="A132">"Season " &amp; _xlfn.NUMBERVALUE(St_TextBetween(B132,"S","E"))</f>
        <v>Season 6</v>
      </c>
      <c r="B132" t="s">
        <v>70</v>
      </c>
      <c r="C132" s="23" t="s">
        <v>11</v>
      </c>
      <c r="D132" s="23" t="s">
        <v>11</v>
      </c>
      <c r="G132" t="str" cm="1">
        <f t="array" ref="G132">"Season " &amp; _xlfn.NUMBERVALUE(St_TextBetween(H132,"S","E"))</f>
        <v>Season 6</v>
      </c>
      <c r="H132" t="s">
        <v>70</v>
      </c>
      <c r="I132" s="23" t="s">
        <v>11</v>
      </c>
      <c r="J132" s="23" t="s">
        <v>11</v>
      </c>
    </row>
    <row r="133" spans="1:10" hidden="1" x14ac:dyDescent="0.3">
      <c r="A133" t="str" cm="1">
        <f t="array" ref="A133">"Season " &amp; _xlfn.NUMBERVALUE(St_TextBetween(B133,"S","E"))</f>
        <v>Season 6</v>
      </c>
      <c r="B133" t="s">
        <v>71</v>
      </c>
      <c r="C133" s="23" t="s">
        <v>11</v>
      </c>
      <c r="D133" s="23" t="s">
        <v>11</v>
      </c>
      <c r="G133" t="str" cm="1">
        <f t="array" ref="G133">"Season " &amp; _xlfn.NUMBERVALUE(St_TextBetween(H133,"S","E"))</f>
        <v>Season 6</v>
      </c>
      <c r="H133" t="s">
        <v>71</v>
      </c>
      <c r="I133" s="23" t="s">
        <v>11</v>
      </c>
      <c r="J133" s="23" t="s">
        <v>11</v>
      </c>
    </row>
    <row r="134" spans="1:10" hidden="1" x14ac:dyDescent="0.3">
      <c r="A134" t="str" cm="1">
        <f t="array" ref="A134">"Season " &amp; _xlfn.NUMBERVALUE(St_TextBetween(B134,"S","E"))</f>
        <v>Season 6</v>
      </c>
      <c r="B134" t="s">
        <v>72</v>
      </c>
      <c r="C134" s="23" t="s">
        <v>11</v>
      </c>
      <c r="D134" s="23" t="s">
        <v>11</v>
      </c>
      <c r="G134" t="str" cm="1">
        <f t="array" ref="G134">"Season " &amp; _xlfn.NUMBERVALUE(St_TextBetween(H134,"S","E"))</f>
        <v>Season 6</v>
      </c>
      <c r="H134" t="s">
        <v>72</v>
      </c>
      <c r="I134" s="23" t="s">
        <v>340</v>
      </c>
      <c r="J134" s="23" t="s">
        <v>11</v>
      </c>
    </row>
    <row r="135" spans="1:10" hidden="1" x14ac:dyDescent="0.3">
      <c r="A135" t="str" cm="1">
        <f t="array" ref="A135">"Season " &amp; _xlfn.NUMBERVALUE(St_TextBetween(B135,"S","E"))</f>
        <v>Season 6</v>
      </c>
      <c r="B135" t="s">
        <v>73</v>
      </c>
      <c r="C135" s="23" t="s">
        <v>11</v>
      </c>
      <c r="D135" s="23" t="s">
        <v>11</v>
      </c>
      <c r="G135" t="str" cm="1">
        <f t="array" ref="G135">"Season " &amp; _xlfn.NUMBERVALUE(St_TextBetween(H135,"S","E"))</f>
        <v>Season 6</v>
      </c>
      <c r="H135" t="s">
        <v>73</v>
      </c>
      <c r="I135" s="23" t="s">
        <v>11</v>
      </c>
      <c r="J135" s="23" t="s">
        <v>11</v>
      </c>
    </row>
    <row r="136" spans="1:10" hidden="1" x14ac:dyDescent="0.3">
      <c r="A136" t="str" cm="1">
        <f t="array" ref="A136">"Season " &amp; _xlfn.NUMBERVALUE(St_TextBetween(B136,"S","E"))</f>
        <v>Season 6</v>
      </c>
      <c r="B136" t="s">
        <v>74</v>
      </c>
      <c r="C136" s="23" t="s">
        <v>11</v>
      </c>
      <c r="D136" s="23" t="s">
        <v>11</v>
      </c>
      <c r="G136" t="str" cm="1">
        <f t="array" ref="G136">"Season " &amp; _xlfn.NUMBERVALUE(St_TextBetween(H136,"S","E"))</f>
        <v>Season 6</v>
      </c>
      <c r="H136" t="s">
        <v>74</v>
      </c>
      <c r="I136" s="23" t="s">
        <v>11</v>
      </c>
      <c r="J136" s="23" t="s">
        <v>11</v>
      </c>
    </row>
    <row r="137" spans="1:10" hidden="1" x14ac:dyDescent="0.3">
      <c r="A137" t="str" cm="1">
        <f t="array" ref="A137">"Season " &amp; _xlfn.NUMBERVALUE(St_TextBetween(B137,"S","E"))</f>
        <v>Season 6</v>
      </c>
      <c r="B137" t="s">
        <v>75</v>
      </c>
      <c r="C137" s="23" t="s">
        <v>11</v>
      </c>
      <c r="D137" s="23" t="s">
        <v>11</v>
      </c>
      <c r="G137" t="str" cm="1">
        <f t="array" ref="G137">"Season " &amp; _xlfn.NUMBERVALUE(St_TextBetween(H137,"S","E"))</f>
        <v>Season 6</v>
      </c>
      <c r="H137" t="s">
        <v>75</v>
      </c>
      <c r="I137" s="23" t="s">
        <v>11</v>
      </c>
      <c r="J137" s="23" t="s">
        <v>11</v>
      </c>
    </row>
    <row r="138" spans="1:10" x14ac:dyDescent="0.3">
      <c r="A138" t="str" cm="1">
        <f t="array" ref="A138">"Season " &amp; _xlfn.NUMBERVALUE(St_TextBetween(B138,"S","E"))</f>
        <v>Season 7</v>
      </c>
      <c r="B138" t="s">
        <v>76</v>
      </c>
      <c r="C138" s="23" t="s">
        <v>11</v>
      </c>
      <c r="D138" s="23" t="s">
        <v>11</v>
      </c>
      <c r="G138" t="str" cm="1">
        <f t="array" ref="G138">"Season " &amp; _xlfn.NUMBERVALUE(St_TextBetween(H138,"S","E"))</f>
        <v>Season 7</v>
      </c>
      <c r="H138" t="s">
        <v>76</v>
      </c>
      <c r="I138" s="23" t="s">
        <v>11</v>
      </c>
      <c r="J138" s="23" t="s">
        <v>11</v>
      </c>
    </row>
    <row r="139" spans="1:10" x14ac:dyDescent="0.3">
      <c r="A139" t="str" cm="1">
        <f t="array" ref="A139">"Season " &amp; _xlfn.NUMBERVALUE(St_TextBetween(B139,"S","E"))</f>
        <v>Season 7</v>
      </c>
      <c r="B139" t="s">
        <v>77</v>
      </c>
      <c r="C139" s="23" t="s">
        <v>11</v>
      </c>
      <c r="D139" s="23" t="s">
        <v>11</v>
      </c>
      <c r="G139" t="str" cm="1">
        <f t="array" ref="G139">"Season " &amp; _xlfn.NUMBERVALUE(St_TextBetween(H139,"S","E"))</f>
        <v>Season 7</v>
      </c>
      <c r="H139" t="s">
        <v>77</v>
      </c>
      <c r="I139" s="23" t="s">
        <v>11</v>
      </c>
      <c r="J139" s="23" t="s">
        <v>11</v>
      </c>
    </row>
    <row r="140" spans="1:10" ht="28.8" x14ac:dyDescent="0.3">
      <c r="A140" t="str" cm="1">
        <f t="array" ref="A140">"Season " &amp; _xlfn.NUMBERVALUE(St_TextBetween(B140,"S","E"))</f>
        <v>Season 7</v>
      </c>
      <c r="B140" t="s">
        <v>78</v>
      </c>
      <c r="C140" s="23" t="s">
        <v>100</v>
      </c>
      <c r="D140" s="23" t="s">
        <v>344</v>
      </c>
      <c r="G140" t="str" cm="1">
        <f t="array" ref="G140">"Season " &amp; _xlfn.NUMBERVALUE(St_TextBetween(H140,"S","E"))</f>
        <v>Season 7</v>
      </c>
      <c r="H140" t="s">
        <v>78</v>
      </c>
      <c r="I140" s="23" t="s">
        <v>100</v>
      </c>
      <c r="J140" s="23" t="s">
        <v>306</v>
      </c>
    </row>
    <row r="141" spans="1:10" ht="28.8" x14ac:dyDescent="0.3">
      <c r="A141" t="str" cm="1">
        <f t="array" ref="A141">"Season " &amp; _xlfn.NUMBERVALUE(St_TextBetween(B141,"S","E"))</f>
        <v>Season 7</v>
      </c>
      <c r="B141" t="s">
        <v>79</v>
      </c>
      <c r="C141" s="23" t="s">
        <v>101</v>
      </c>
      <c r="D141" s="23" t="s">
        <v>343</v>
      </c>
      <c r="G141" t="str" cm="1">
        <f t="array" ref="G141">"Season " &amp; _xlfn.NUMBERVALUE(St_TextBetween(H141,"S","E"))</f>
        <v>Season 7</v>
      </c>
      <c r="H141" t="s">
        <v>79</v>
      </c>
      <c r="I141" s="23" t="s">
        <v>101</v>
      </c>
      <c r="J141" s="23" t="s">
        <v>306</v>
      </c>
    </row>
    <row r="142" spans="1:10" x14ac:dyDescent="0.3">
      <c r="A142" t="str" cm="1">
        <f t="array" ref="A142">"Season " &amp; _xlfn.NUMBERVALUE(St_TextBetween(B142,"S","E"))</f>
        <v>Season 7</v>
      </c>
      <c r="B142" t="s">
        <v>80</v>
      </c>
      <c r="C142" s="23" t="s">
        <v>102</v>
      </c>
      <c r="D142" s="23" t="s">
        <v>44</v>
      </c>
      <c r="G142" t="str" cm="1">
        <f t="array" ref="G142">"Season " &amp; _xlfn.NUMBERVALUE(St_TextBetween(H142,"S","E"))</f>
        <v>Season 7</v>
      </c>
      <c r="H142" t="s">
        <v>80</v>
      </c>
      <c r="I142" s="23" t="s">
        <v>102</v>
      </c>
      <c r="J142" s="23" t="s">
        <v>44</v>
      </c>
    </row>
    <row r="143" spans="1:10" x14ac:dyDescent="0.3">
      <c r="A143" t="str" cm="1">
        <f t="array" ref="A143">"Season " &amp; _xlfn.NUMBERVALUE(St_TextBetween(B143,"S","E"))</f>
        <v>Season 7</v>
      </c>
      <c r="B143" t="s">
        <v>81</v>
      </c>
      <c r="C143" s="23" t="s">
        <v>11</v>
      </c>
      <c r="D143" s="23" t="s">
        <v>11</v>
      </c>
      <c r="G143" t="str" cm="1">
        <f t="array" ref="G143">"Season " &amp; _xlfn.NUMBERVALUE(St_TextBetween(H143,"S","E"))</f>
        <v>Season 7</v>
      </c>
      <c r="H143" t="s">
        <v>81</v>
      </c>
      <c r="I143" s="23" t="s">
        <v>11</v>
      </c>
      <c r="J143" s="23" t="s">
        <v>11</v>
      </c>
    </row>
    <row r="144" spans="1:10" x14ac:dyDescent="0.3">
      <c r="A144" t="str" cm="1">
        <f t="array" ref="A144">"Season " &amp; _xlfn.NUMBERVALUE(St_TextBetween(B144,"S","E"))</f>
        <v>Season 7</v>
      </c>
      <c r="B144" t="s">
        <v>82</v>
      </c>
      <c r="C144" s="23" t="s">
        <v>11</v>
      </c>
      <c r="D144" s="23" t="s">
        <v>11</v>
      </c>
      <c r="G144" t="str" cm="1">
        <f t="array" ref="G144">"Season " &amp; _xlfn.NUMBERVALUE(St_TextBetween(H144,"S","E"))</f>
        <v>Season 7</v>
      </c>
      <c r="H144" t="s">
        <v>82</v>
      </c>
      <c r="I144" s="23" t="s">
        <v>11</v>
      </c>
      <c r="J144" s="23" t="s">
        <v>11</v>
      </c>
    </row>
    <row r="145" spans="1:10" x14ac:dyDescent="0.3">
      <c r="A145" t="str" cm="1">
        <f t="array" ref="A145">"Season " &amp; _xlfn.NUMBERVALUE(St_TextBetween(B145,"S","E"))</f>
        <v>Season 7</v>
      </c>
      <c r="B145" t="s">
        <v>83</v>
      </c>
      <c r="C145" s="23" t="s">
        <v>11</v>
      </c>
      <c r="D145" s="23" t="s">
        <v>11</v>
      </c>
      <c r="G145" t="str" cm="1">
        <f t="array" ref="G145">"Season " &amp; _xlfn.NUMBERVALUE(St_TextBetween(H145,"S","E"))</f>
        <v>Season 7</v>
      </c>
      <c r="H145" t="s">
        <v>83</v>
      </c>
      <c r="I145" s="23" t="s">
        <v>11</v>
      </c>
      <c r="J145" s="23" t="s">
        <v>11</v>
      </c>
    </row>
    <row r="146" spans="1:10" ht="28.8" x14ac:dyDescent="0.3">
      <c r="A146" t="str" cm="1">
        <f t="array" ref="A146">"Season " &amp; _xlfn.NUMBERVALUE(St_TextBetween(B146,"S","E"))</f>
        <v>Season 7</v>
      </c>
      <c r="B146" t="s">
        <v>84</v>
      </c>
      <c r="C146" s="23" t="s">
        <v>341</v>
      </c>
      <c r="D146" s="23" t="s">
        <v>306</v>
      </c>
      <c r="G146" t="str" cm="1">
        <f t="array" ref="G146">"Season " &amp; _xlfn.NUMBERVALUE(St_TextBetween(H146,"S","E"))</f>
        <v>Season 7</v>
      </c>
      <c r="H146" t="s">
        <v>84</v>
      </c>
      <c r="I146" s="23" t="s">
        <v>341</v>
      </c>
      <c r="J146" s="23" t="s">
        <v>306</v>
      </c>
    </row>
    <row r="147" spans="1:10" ht="28.8" x14ac:dyDescent="0.3">
      <c r="A147" t="str" cm="1">
        <f t="array" ref="A147">"Season " &amp; _xlfn.NUMBERVALUE(St_TextBetween(B147,"S","E"))</f>
        <v>Season 7</v>
      </c>
      <c r="B147" t="s">
        <v>85</v>
      </c>
      <c r="C147" s="23" t="s">
        <v>342</v>
      </c>
      <c r="D147" s="23" t="s">
        <v>344</v>
      </c>
      <c r="G147" t="str" cm="1">
        <f t="array" ref="G147">"Season " &amp; _xlfn.NUMBERVALUE(St_TextBetween(H147,"S","E"))</f>
        <v>Season 7</v>
      </c>
      <c r="H147" t="s">
        <v>85</v>
      </c>
    </row>
    <row r="148" spans="1:10" x14ac:dyDescent="0.3">
      <c r="A148" t="str" cm="1">
        <f t="array" ref="A148">"Season " &amp; _xlfn.NUMBERVALUE(St_TextBetween(B148,"S","E"))</f>
        <v>Season 7</v>
      </c>
      <c r="B148" t="s">
        <v>86</v>
      </c>
      <c r="C148" s="23" t="s">
        <v>11</v>
      </c>
      <c r="D148" s="23" t="s">
        <v>11</v>
      </c>
      <c r="G148" t="str" cm="1">
        <f t="array" ref="G148">"Season " &amp; _xlfn.NUMBERVALUE(St_TextBetween(H148,"S","E"))</f>
        <v>Season 7</v>
      </c>
      <c r="H148" t="s">
        <v>86</v>
      </c>
    </row>
    <row r="149" spans="1:10" ht="28.8" x14ac:dyDescent="0.3">
      <c r="A149" t="str" cm="1">
        <f t="array" ref="A149">"Season " &amp; _xlfn.NUMBERVALUE(St_TextBetween(B149,"S","E"))</f>
        <v>Season 7</v>
      </c>
      <c r="B149" t="s">
        <v>87</v>
      </c>
      <c r="C149" s="23" t="s">
        <v>345</v>
      </c>
      <c r="D149" s="23" t="s">
        <v>343</v>
      </c>
      <c r="G149" t="str" cm="1">
        <f t="array" ref="G149">"Season " &amp; _xlfn.NUMBERVALUE(St_TextBetween(H149,"S","E"))</f>
        <v>Season 7</v>
      </c>
      <c r="H149" t="s">
        <v>87</v>
      </c>
    </row>
    <row r="150" spans="1:10" x14ac:dyDescent="0.3">
      <c r="A150" t="str" cm="1">
        <f t="array" ref="A150">"Season " &amp; _xlfn.NUMBERVALUE(St_TextBetween(B150,"S","E"))</f>
        <v>Season 7</v>
      </c>
      <c r="B150" t="s">
        <v>88</v>
      </c>
      <c r="C150" s="23" t="s">
        <v>346</v>
      </c>
      <c r="D150" s="23" t="s">
        <v>306</v>
      </c>
      <c r="G150" t="str" cm="1">
        <f t="array" ref="G150">"Season " &amp; _xlfn.NUMBERVALUE(St_TextBetween(H150,"S","E"))</f>
        <v>Season 7</v>
      </c>
      <c r="H150" t="s">
        <v>88</v>
      </c>
    </row>
    <row r="151" spans="1:10" ht="28.8" x14ac:dyDescent="0.3">
      <c r="A151" t="str" cm="1">
        <f t="array" ref="A151">"Season " &amp; _xlfn.NUMBERVALUE(St_TextBetween(B151,"S","E"))</f>
        <v>Season 7</v>
      </c>
      <c r="B151" t="s">
        <v>89</v>
      </c>
      <c r="C151" s="23" t="s">
        <v>341</v>
      </c>
      <c r="D151" s="23" t="s">
        <v>306</v>
      </c>
      <c r="G151" t="str" cm="1">
        <f t="array" ref="G151">"Season " &amp; _xlfn.NUMBERVALUE(St_TextBetween(H151,"S","E"))</f>
        <v>Season 7</v>
      </c>
      <c r="H151" t="s">
        <v>89</v>
      </c>
    </row>
    <row r="152" spans="1:10" x14ac:dyDescent="0.3">
      <c r="A152" t="str" cm="1">
        <f t="array" ref="A152">"Season " &amp; _xlfn.NUMBERVALUE(St_TextBetween(B152,"S","E"))</f>
        <v>Season 7</v>
      </c>
      <c r="B152" t="s">
        <v>90</v>
      </c>
      <c r="C152" s="23" t="s">
        <v>346</v>
      </c>
      <c r="D152" s="23" t="s">
        <v>44</v>
      </c>
      <c r="G152" t="str" cm="1">
        <f t="array" ref="G152">"Season " &amp; _xlfn.NUMBERVALUE(St_TextBetween(H152,"S","E"))</f>
        <v>Season 7</v>
      </c>
      <c r="H152" t="s">
        <v>90</v>
      </c>
    </row>
    <row r="153" spans="1:10" x14ac:dyDescent="0.3">
      <c r="A153" t="str" cm="1">
        <f t="array" ref="A153">"Season " &amp; _xlfn.NUMBERVALUE(St_TextBetween(B153,"S","E"))</f>
        <v>Season 7</v>
      </c>
      <c r="B153" t="s">
        <v>91</v>
      </c>
      <c r="C153" s="23" t="s">
        <v>346</v>
      </c>
      <c r="D153" s="23" t="s">
        <v>44</v>
      </c>
      <c r="G153" t="str" cm="1">
        <f t="array" ref="G153">"Season " &amp; _xlfn.NUMBERVALUE(St_TextBetween(H153,"S","E"))</f>
        <v>Season 7</v>
      </c>
      <c r="H153" t="s">
        <v>91</v>
      </c>
    </row>
    <row r="154" spans="1:10" x14ac:dyDescent="0.3">
      <c r="A154" t="str" cm="1">
        <f t="array" ref="A154">"Season " &amp; _xlfn.NUMBERVALUE(St_TextBetween(B154,"S","E"))</f>
        <v>Season 7</v>
      </c>
      <c r="B154" t="s">
        <v>92</v>
      </c>
      <c r="C154" s="23" t="s">
        <v>346</v>
      </c>
      <c r="D154" s="23" t="s">
        <v>44</v>
      </c>
      <c r="G154" t="str" cm="1">
        <f t="array" ref="G154">"Season " &amp; _xlfn.NUMBERVALUE(St_TextBetween(H154,"S","E"))</f>
        <v>Season 7</v>
      </c>
      <c r="H154" t="s">
        <v>92</v>
      </c>
    </row>
    <row r="155" spans="1:10" x14ac:dyDescent="0.3">
      <c r="A155" t="str" cm="1">
        <f t="array" ref="A155">"Season " &amp; _xlfn.NUMBERVALUE(St_TextBetween(B155,"S","E"))</f>
        <v>Season 7</v>
      </c>
      <c r="B155" t="s">
        <v>93</v>
      </c>
      <c r="C155" s="23" t="s">
        <v>346</v>
      </c>
      <c r="D155" s="23" t="s">
        <v>44</v>
      </c>
      <c r="G155" t="str" cm="1">
        <f t="array" ref="G155">"Season " &amp; _xlfn.NUMBERVALUE(St_TextBetween(H155,"S","E"))</f>
        <v>Season 7</v>
      </c>
      <c r="H155" t="s">
        <v>93</v>
      </c>
    </row>
    <row r="156" spans="1:10" x14ac:dyDescent="0.3">
      <c r="A156" t="str" cm="1">
        <f t="array" ref="A156">"Season " &amp; _xlfn.NUMBERVALUE(St_TextBetween(B156,"S","E"))</f>
        <v>Season 7</v>
      </c>
      <c r="B156" t="s">
        <v>94</v>
      </c>
      <c r="C156" s="23" t="s">
        <v>346</v>
      </c>
      <c r="D156" s="23" t="s">
        <v>44</v>
      </c>
      <c r="G156" t="str" cm="1">
        <f t="array" ref="G156">"Season " &amp; _xlfn.NUMBERVALUE(St_TextBetween(H156,"S","E"))</f>
        <v>Season 7</v>
      </c>
      <c r="H156" t="s">
        <v>94</v>
      </c>
    </row>
    <row r="157" spans="1:10" x14ac:dyDescent="0.3">
      <c r="A157" t="str" cm="1">
        <f t="array" ref="A157">"Season " &amp; _xlfn.NUMBERVALUE(St_TextBetween(B157,"S","E"))</f>
        <v>Season 7</v>
      </c>
      <c r="B157" t="s">
        <v>95</v>
      </c>
      <c r="C157" s="23" t="s">
        <v>346</v>
      </c>
      <c r="D157" s="23" t="s">
        <v>44</v>
      </c>
      <c r="G157" t="str" cm="1">
        <f t="array" ref="G157">"Season " &amp; _xlfn.NUMBERVALUE(St_TextBetween(H157,"S","E"))</f>
        <v>Season 7</v>
      </c>
      <c r="H157" t="s">
        <v>95</v>
      </c>
    </row>
    <row r="158" spans="1:10" x14ac:dyDescent="0.3">
      <c r="A158" t="str" cm="1">
        <f t="array" ref="A158">"Season " &amp; _xlfn.NUMBERVALUE(St_TextBetween(B158,"S","E"))</f>
        <v>Season 7</v>
      </c>
      <c r="B158" t="s">
        <v>96</v>
      </c>
      <c r="C158" s="23" t="s">
        <v>346</v>
      </c>
      <c r="D158" s="23" t="s">
        <v>44</v>
      </c>
      <c r="G158" t="str" cm="1">
        <f t="array" ref="G158">"Season " &amp; _xlfn.NUMBERVALUE(St_TextBetween(H158,"S","E"))</f>
        <v>Season 7</v>
      </c>
      <c r="H158" t="s">
        <v>96</v>
      </c>
    </row>
    <row r="159" spans="1:10" x14ac:dyDescent="0.3">
      <c r="A159" t="str" cm="1">
        <f t="array" ref="A159">"Season " &amp; _xlfn.NUMBERVALUE(St_TextBetween(B159,"S","E"))</f>
        <v>Season 7</v>
      </c>
      <c r="B159" t="s">
        <v>97</v>
      </c>
      <c r="C159" s="23" t="s">
        <v>346</v>
      </c>
      <c r="D159" s="23" t="s">
        <v>44</v>
      </c>
      <c r="G159" t="str" cm="1">
        <f t="array" ref="G159">"Season " &amp; _xlfn.NUMBERVALUE(St_TextBetween(H159,"S","E"))</f>
        <v>Season 7</v>
      </c>
      <c r="H159" t="s">
        <v>97</v>
      </c>
    </row>
    <row r="160" spans="1:10" x14ac:dyDescent="0.3">
      <c r="A160" t="str" cm="1">
        <f t="array" ref="A160">"Season " &amp; _xlfn.NUMBERVALUE(St_TextBetween(B160,"S","E"))</f>
        <v>Season 7</v>
      </c>
      <c r="B160" t="s">
        <v>98</v>
      </c>
      <c r="C160" s="23" t="s">
        <v>346</v>
      </c>
      <c r="D160" s="23" t="s">
        <v>44</v>
      </c>
      <c r="G160" t="str" cm="1">
        <f t="array" ref="G160">"Season " &amp; _xlfn.NUMBERVALUE(St_TextBetween(H160,"S","E"))</f>
        <v>Season 7</v>
      </c>
      <c r="H160" t="s">
        <v>98</v>
      </c>
    </row>
    <row r="161" spans="1:10" x14ac:dyDescent="0.3">
      <c r="A161" t="str" cm="1">
        <f t="array" ref="A161">"Season " &amp; _xlfn.NUMBERVALUE(St_TextBetween(B161,"S","E"))</f>
        <v>Season 7</v>
      </c>
      <c r="B161" t="s">
        <v>99</v>
      </c>
      <c r="C161" s="23" t="s">
        <v>346</v>
      </c>
      <c r="D161" s="23" t="s">
        <v>44</v>
      </c>
      <c r="G161" t="str" cm="1">
        <f t="array" ref="G161">"Season " &amp; _xlfn.NUMBERVALUE(St_TextBetween(H161,"S","E"))</f>
        <v>Season 7</v>
      </c>
      <c r="H161" t="s">
        <v>99</v>
      </c>
    </row>
    <row r="162" spans="1:10" hidden="1" x14ac:dyDescent="0.3">
      <c r="A162" t="str" cm="1">
        <f t="array" ref="A162">"Season " &amp; _xlfn.NUMBERVALUE(St_TextBetween(B162,"S","E"))</f>
        <v>Season 8</v>
      </c>
      <c r="B162" t="s">
        <v>185</v>
      </c>
      <c r="C162" s="23" t="s">
        <v>307</v>
      </c>
      <c r="G162" t="str" cm="1">
        <f t="array" ref="G162">"Season " &amp; _xlfn.NUMBERVALUE(St_TextBetween(H162,"S","E"))</f>
        <v>Season 8</v>
      </c>
      <c r="H162" t="s">
        <v>185</v>
      </c>
      <c r="I162" s="23" t="s">
        <v>307</v>
      </c>
    </row>
    <row r="163" spans="1:10" hidden="1" x14ac:dyDescent="0.3">
      <c r="A163" t="str" cm="1">
        <f t="array" ref="A163">"Season " &amp; _xlfn.NUMBERVALUE(St_TextBetween(B163,"S","E"))</f>
        <v>Season 8</v>
      </c>
      <c r="B163" t="s">
        <v>186</v>
      </c>
      <c r="C163" s="23" t="s">
        <v>11</v>
      </c>
      <c r="D163" s="23" t="s">
        <v>11</v>
      </c>
      <c r="G163" t="str" cm="1">
        <f t="array" ref="G163">"Season " &amp; _xlfn.NUMBERVALUE(St_TextBetween(H163,"S","E"))</f>
        <v>Season 8</v>
      </c>
      <c r="H163" t="s">
        <v>186</v>
      </c>
      <c r="I163" s="23" t="s">
        <v>11</v>
      </c>
      <c r="J163" s="23" t="s">
        <v>11</v>
      </c>
    </row>
    <row r="164" spans="1:10" hidden="1" x14ac:dyDescent="0.3">
      <c r="A164" t="str" cm="1">
        <f t="array" ref="A164">"Season " &amp; _xlfn.NUMBERVALUE(St_TextBetween(B164,"S","E"))</f>
        <v>Season 8</v>
      </c>
      <c r="B164" t="s">
        <v>187</v>
      </c>
      <c r="C164" s="23" t="s">
        <v>11</v>
      </c>
      <c r="D164" s="23" t="s">
        <v>11</v>
      </c>
      <c r="G164" t="str" cm="1">
        <f t="array" ref="G164">"Season " &amp; _xlfn.NUMBERVALUE(St_TextBetween(H164,"S","E"))</f>
        <v>Season 8</v>
      </c>
      <c r="H164" t="s">
        <v>187</v>
      </c>
      <c r="I164" s="23" t="s">
        <v>11</v>
      </c>
      <c r="J164" s="23" t="s">
        <v>11</v>
      </c>
    </row>
    <row r="165" spans="1:10" hidden="1" x14ac:dyDescent="0.3">
      <c r="A165" t="str" cm="1">
        <f t="array" ref="A165">"Season " &amp; _xlfn.NUMBERVALUE(St_TextBetween(B165,"S","E"))</f>
        <v>Season 8</v>
      </c>
      <c r="B165" t="s">
        <v>188</v>
      </c>
      <c r="C165" s="23" t="s">
        <v>306</v>
      </c>
      <c r="D165" s="23" t="s">
        <v>306</v>
      </c>
      <c r="G165" t="str" cm="1">
        <f t="array" ref="G165">"Season " &amp; _xlfn.NUMBERVALUE(St_TextBetween(H165,"S","E"))</f>
        <v>Season 8</v>
      </c>
      <c r="H165" t="s">
        <v>188</v>
      </c>
      <c r="I165" s="23" t="s">
        <v>306</v>
      </c>
      <c r="J165" s="23" t="s">
        <v>306</v>
      </c>
    </row>
    <row r="166" spans="1:10" hidden="1" x14ac:dyDescent="0.3">
      <c r="A166" t="str" cm="1">
        <f t="array" ref="A166">"Season " &amp; _xlfn.NUMBERVALUE(St_TextBetween(B166,"S","E"))</f>
        <v>Season 8</v>
      </c>
      <c r="B166" t="s">
        <v>189</v>
      </c>
      <c r="G166" t="str" cm="1">
        <f t="array" ref="G166">"Season " &amp; _xlfn.NUMBERVALUE(St_TextBetween(H166,"S","E"))</f>
        <v>Season 8</v>
      </c>
      <c r="H166" t="s">
        <v>189</v>
      </c>
    </row>
    <row r="167" spans="1:10" hidden="1" x14ac:dyDescent="0.3">
      <c r="A167" t="str" cm="1">
        <f t="array" ref="A167">"Season " &amp; _xlfn.NUMBERVALUE(St_TextBetween(B167,"S","E"))</f>
        <v>Season 8</v>
      </c>
      <c r="B167" t="s">
        <v>190</v>
      </c>
      <c r="G167" t="str" cm="1">
        <f t="array" ref="G167">"Season " &amp; _xlfn.NUMBERVALUE(St_TextBetween(H167,"S","E"))</f>
        <v>Season 8</v>
      </c>
      <c r="H167" t="s">
        <v>190</v>
      </c>
    </row>
    <row r="168" spans="1:10" hidden="1" x14ac:dyDescent="0.3">
      <c r="A168" t="str" cm="1">
        <f t="array" ref="A168">"Season " &amp; _xlfn.NUMBERVALUE(St_TextBetween(B168,"S","E"))</f>
        <v>Season 8</v>
      </c>
      <c r="B168" t="s">
        <v>191</v>
      </c>
      <c r="G168" t="str" cm="1">
        <f t="array" ref="G168">"Season " &amp; _xlfn.NUMBERVALUE(St_TextBetween(H168,"S","E"))</f>
        <v>Season 8</v>
      </c>
      <c r="H168" t="s">
        <v>191</v>
      </c>
    </row>
    <row r="169" spans="1:10" hidden="1" x14ac:dyDescent="0.3">
      <c r="A169" t="str" cm="1">
        <f t="array" ref="A169">"Season " &amp; _xlfn.NUMBERVALUE(St_TextBetween(B169,"S","E"))</f>
        <v>Season 8</v>
      </c>
      <c r="B169" t="s">
        <v>192</v>
      </c>
      <c r="G169" t="str" cm="1">
        <f t="array" ref="G169">"Season " &amp; _xlfn.NUMBERVALUE(St_TextBetween(H169,"S","E"))</f>
        <v>Season 8</v>
      </c>
      <c r="H169" t="s">
        <v>192</v>
      </c>
    </row>
    <row r="170" spans="1:10" hidden="1" x14ac:dyDescent="0.3">
      <c r="A170" t="str" cm="1">
        <f t="array" ref="A170">"Season " &amp; _xlfn.NUMBERVALUE(St_TextBetween(B170,"S","E"))</f>
        <v>Season 8</v>
      </c>
      <c r="B170" t="s">
        <v>193</v>
      </c>
      <c r="G170" t="str" cm="1">
        <f t="array" ref="G170">"Season " &amp; _xlfn.NUMBERVALUE(St_TextBetween(H170,"S","E"))</f>
        <v>Season 8</v>
      </c>
      <c r="H170" t="s">
        <v>193</v>
      </c>
    </row>
    <row r="171" spans="1:10" hidden="1" x14ac:dyDescent="0.3">
      <c r="A171" t="str" cm="1">
        <f t="array" ref="A171">"Season " &amp; _xlfn.NUMBERVALUE(St_TextBetween(B171,"S","E"))</f>
        <v>Season 8</v>
      </c>
      <c r="B171" t="s">
        <v>194</v>
      </c>
      <c r="G171" t="str" cm="1">
        <f t="array" ref="G171">"Season " &amp; _xlfn.NUMBERVALUE(St_TextBetween(H171,"S","E"))</f>
        <v>Season 8</v>
      </c>
      <c r="H171" t="s">
        <v>194</v>
      </c>
    </row>
    <row r="172" spans="1:10" hidden="1" x14ac:dyDescent="0.3">
      <c r="A172" t="str" cm="1">
        <f t="array" ref="A172">"Season " &amp; _xlfn.NUMBERVALUE(St_TextBetween(B172,"S","E"))</f>
        <v>Season 8</v>
      </c>
      <c r="B172" t="s">
        <v>195</v>
      </c>
      <c r="G172" t="str" cm="1">
        <f t="array" ref="G172">"Season " &amp; _xlfn.NUMBERVALUE(St_TextBetween(H172,"S","E"))</f>
        <v>Season 8</v>
      </c>
      <c r="H172" t="s">
        <v>195</v>
      </c>
    </row>
    <row r="173" spans="1:10" hidden="1" x14ac:dyDescent="0.3">
      <c r="A173" t="str" cm="1">
        <f t="array" ref="A173">"Season " &amp; _xlfn.NUMBERVALUE(St_TextBetween(B173,"S","E"))</f>
        <v>Season 8</v>
      </c>
      <c r="B173" t="s">
        <v>196</v>
      </c>
      <c r="G173" t="str" cm="1">
        <f t="array" ref="G173">"Season " &amp; _xlfn.NUMBERVALUE(St_TextBetween(H173,"S","E"))</f>
        <v>Season 8</v>
      </c>
      <c r="H173" t="s">
        <v>196</v>
      </c>
    </row>
    <row r="174" spans="1:10" hidden="1" x14ac:dyDescent="0.3">
      <c r="A174" t="str" cm="1">
        <f t="array" ref="A174">"Season " &amp; _xlfn.NUMBERVALUE(St_TextBetween(B174,"S","E"))</f>
        <v>Season 8</v>
      </c>
      <c r="B174" t="s">
        <v>197</v>
      </c>
      <c r="G174" t="str" cm="1">
        <f t="array" ref="G174">"Season " &amp; _xlfn.NUMBERVALUE(St_TextBetween(H174,"S","E"))</f>
        <v>Season 8</v>
      </c>
      <c r="H174" t="s">
        <v>197</v>
      </c>
    </row>
    <row r="175" spans="1:10" hidden="1" x14ac:dyDescent="0.3">
      <c r="A175" t="str" cm="1">
        <f t="array" ref="A175">"Season " &amp; _xlfn.NUMBERVALUE(St_TextBetween(B175,"S","E"))</f>
        <v>Season 8</v>
      </c>
      <c r="B175" t="s">
        <v>198</v>
      </c>
      <c r="G175" t="str" cm="1">
        <f t="array" ref="G175">"Season " &amp; _xlfn.NUMBERVALUE(St_TextBetween(H175,"S","E"))</f>
        <v>Season 8</v>
      </c>
      <c r="H175" t="s">
        <v>198</v>
      </c>
    </row>
    <row r="176" spans="1:10" hidden="1" x14ac:dyDescent="0.3">
      <c r="A176" t="str" cm="1">
        <f t="array" ref="A176">"Season " &amp; _xlfn.NUMBERVALUE(St_TextBetween(B176,"S","E"))</f>
        <v>Season 8</v>
      </c>
      <c r="B176" t="s">
        <v>199</v>
      </c>
      <c r="G176" t="str" cm="1">
        <f t="array" ref="G176">"Season " &amp; _xlfn.NUMBERVALUE(St_TextBetween(H176,"S","E"))</f>
        <v>Season 8</v>
      </c>
      <c r="H176" t="s">
        <v>199</v>
      </c>
    </row>
    <row r="177" spans="1:9" hidden="1" x14ac:dyDescent="0.3">
      <c r="A177" t="str" cm="1">
        <f t="array" ref="A177">"Season " &amp; _xlfn.NUMBERVALUE(St_TextBetween(B177,"S","E"))</f>
        <v>Season 8</v>
      </c>
      <c r="B177" t="s">
        <v>200</v>
      </c>
      <c r="G177" t="str" cm="1">
        <f t="array" ref="G177">"Season " &amp; _xlfn.NUMBERVALUE(St_TextBetween(H177,"S","E"))</f>
        <v>Season 8</v>
      </c>
      <c r="H177" t="s">
        <v>200</v>
      </c>
    </row>
    <row r="178" spans="1:9" hidden="1" x14ac:dyDescent="0.3">
      <c r="A178" t="str" cm="1">
        <f t="array" ref="A178">"Season " &amp; _xlfn.NUMBERVALUE(St_TextBetween(B178,"S","E"))</f>
        <v>Season 8</v>
      </c>
      <c r="B178" t="s">
        <v>201</v>
      </c>
      <c r="G178" t="str" cm="1">
        <f t="array" ref="G178">"Season " &amp; _xlfn.NUMBERVALUE(St_TextBetween(H178,"S","E"))</f>
        <v>Season 8</v>
      </c>
      <c r="H178" t="s">
        <v>201</v>
      </c>
    </row>
    <row r="179" spans="1:9" hidden="1" x14ac:dyDescent="0.3">
      <c r="A179" t="str" cm="1">
        <f t="array" ref="A179">"Season " &amp; _xlfn.NUMBERVALUE(St_TextBetween(B179,"S","E"))</f>
        <v>Season 8</v>
      </c>
      <c r="B179" t="s">
        <v>202</v>
      </c>
      <c r="G179" t="str" cm="1">
        <f t="array" ref="G179">"Season " &amp; _xlfn.NUMBERVALUE(St_TextBetween(H179,"S","E"))</f>
        <v>Season 8</v>
      </c>
      <c r="H179" t="s">
        <v>202</v>
      </c>
    </row>
    <row r="180" spans="1:9" hidden="1" x14ac:dyDescent="0.3">
      <c r="A180" t="str" cm="1">
        <f t="array" ref="A180">"Season " &amp; _xlfn.NUMBERVALUE(St_TextBetween(B180,"S","E"))</f>
        <v>Season 8</v>
      </c>
      <c r="B180" t="s">
        <v>203</v>
      </c>
      <c r="G180" t="str" cm="1">
        <f t="array" ref="G180">"Season " &amp; _xlfn.NUMBERVALUE(St_TextBetween(H180,"S","E"))</f>
        <v>Season 8</v>
      </c>
      <c r="H180" t="s">
        <v>203</v>
      </c>
    </row>
    <row r="181" spans="1:9" hidden="1" x14ac:dyDescent="0.3">
      <c r="A181" t="str" cm="1">
        <f t="array" ref="A181">"Season " &amp; _xlfn.NUMBERVALUE(St_TextBetween(B181,"S","E"))</f>
        <v>Season 8</v>
      </c>
      <c r="B181" t="s">
        <v>204</v>
      </c>
      <c r="G181" t="str" cm="1">
        <f t="array" ref="G181">"Season " &amp; _xlfn.NUMBERVALUE(St_TextBetween(H181,"S","E"))</f>
        <v>Season 8</v>
      </c>
      <c r="H181" t="s">
        <v>204</v>
      </c>
    </row>
    <row r="182" spans="1:9" hidden="1" x14ac:dyDescent="0.3">
      <c r="A182" t="str" cm="1">
        <f t="array" ref="A182">"Season " &amp; _xlfn.NUMBERVALUE(St_TextBetween(B182,"S","E"))</f>
        <v>Season 8</v>
      </c>
      <c r="B182" t="s">
        <v>205</v>
      </c>
      <c r="G182" t="str" cm="1">
        <f t="array" ref="G182">"Season " &amp; _xlfn.NUMBERVALUE(St_TextBetween(H182,"S","E"))</f>
        <v>Season 8</v>
      </c>
      <c r="H182" t="s">
        <v>205</v>
      </c>
    </row>
    <row r="183" spans="1:9" hidden="1" x14ac:dyDescent="0.3">
      <c r="A183" t="str" cm="1">
        <f t="array" ref="A183">"Season " &amp; _xlfn.NUMBERVALUE(St_TextBetween(B183,"S","E"))</f>
        <v>Season 8</v>
      </c>
      <c r="B183" t="s">
        <v>206</v>
      </c>
      <c r="G183" t="str" cm="1">
        <f t="array" ref="G183">"Season " &amp; _xlfn.NUMBERVALUE(St_TextBetween(H183,"S","E"))</f>
        <v>Season 8</v>
      </c>
      <c r="H183" t="s">
        <v>206</v>
      </c>
    </row>
    <row r="184" spans="1:9" hidden="1" x14ac:dyDescent="0.3">
      <c r="A184" t="str" cm="1">
        <f t="array" ref="A184">"Season " &amp; _xlfn.NUMBERVALUE(St_TextBetween(B184,"S","E"))</f>
        <v>Season 8</v>
      </c>
      <c r="B184" t="s">
        <v>207</v>
      </c>
      <c r="G184" t="str" cm="1">
        <f t="array" ref="G184">"Season " &amp; _xlfn.NUMBERVALUE(St_TextBetween(H184,"S","E"))</f>
        <v>Season 8</v>
      </c>
      <c r="H184" t="s">
        <v>207</v>
      </c>
    </row>
    <row r="185" spans="1:9" hidden="1" x14ac:dyDescent="0.3">
      <c r="A185" t="str" cm="1">
        <f t="array" ref="A185">"Season " &amp; _xlfn.NUMBERVALUE(St_TextBetween(B185,"S","E"))</f>
        <v>Season 8</v>
      </c>
      <c r="B185" t="s">
        <v>208</v>
      </c>
      <c r="G185" t="str" cm="1">
        <f t="array" ref="G185">"Season " &amp; _xlfn.NUMBERVALUE(St_TextBetween(H185,"S","E"))</f>
        <v>Season 8</v>
      </c>
      <c r="H185" t="s">
        <v>208</v>
      </c>
    </row>
    <row r="186" spans="1:9" hidden="1" x14ac:dyDescent="0.3">
      <c r="A186" t="str" cm="1">
        <f t="array" ref="A186">"Season " &amp; _xlfn.NUMBERVALUE(St_TextBetween(B186,"S","E"))</f>
        <v>Season 9</v>
      </c>
      <c r="B186" t="s">
        <v>209</v>
      </c>
      <c r="C186" s="23" t="s">
        <v>307</v>
      </c>
      <c r="G186" t="str" cm="1">
        <f t="array" ref="G186">"Season " &amp; _xlfn.NUMBERVALUE(St_TextBetween(H186,"S","E"))</f>
        <v>Season 9</v>
      </c>
      <c r="H186" t="s">
        <v>209</v>
      </c>
      <c r="I186" s="23" t="s">
        <v>307</v>
      </c>
    </row>
    <row r="187" spans="1:9" hidden="1" x14ac:dyDescent="0.3">
      <c r="A187" t="str" cm="1">
        <f t="array" ref="A187">"Season " &amp; _xlfn.NUMBERVALUE(St_TextBetween(B187,"S","E"))</f>
        <v>Season 9</v>
      </c>
      <c r="B187" t="s">
        <v>210</v>
      </c>
      <c r="C187" s="23" t="s">
        <v>305</v>
      </c>
      <c r="G187" t="str" cm="1">
        <f t="array" ref="G187">"Season " &amp; _xlfn.NUMBERVALUE(St_TextBetween(H187,"S","E"))</f>
        <v>Season 9</v>
      </c>
      <c r="H187" t="s">
        <v>210</v>
      </c>
      <c r="I187" s="23" t="s">
        <v>305</v>
      </c>
    </row>
    <row r="188" spans="1:9" hidden="1" x14ac:dyDescent="0.3">
      <c r="A188" t="str" cm="1">
        <f t="array" ref="A188">"Season " &amp; _xlfn.NUMBERVALUE(St_TextBetween(B188,"S","E"))</f>
        <v>Season 9</v>
      </c>
      <c r="B188" t="s">
        <v>211</v>
      </c>
      <c r="C188" s="23" t="s">
        <v>305</v>
      </c>
      <c r="G188" t="str" cm="1">
        <f t="array" ref="G188">"Season " &amp; _xlfn.NUMBERVALUE(St_TextBetween(H188,"S","E"))</f>
        <v>Season 9</v>
      </c>
      <c r="H188" t="s">
        <v>211</v>
      </c>
      <c r="I188" s="23" t="s">
        <v>305</v>
      </c>
    </row>
    <row r="189" spans="1:9" hidden="1" x14ac:dyDescent="0.3">
      <c r="A189" t="str" cm="1">
        <f t="array" ref="A189">"Season " &amp; _xlfn.NUMBERVALUE(St_TextBetween(B189,"S","E"))</f>
        <v>Season 9</v>
      </c>
      <c r="B189" t="s">
        <v>212</v>
      </c>
      <c r="C189" s="23" t="s">
        <v>305</v>
      </c>
      <c r="G189" t="str" cm="1">
        <f t="array" ref="G189">"Season " &amp; _xlfn.NUMBERVALUE(St_TextBetween(H189,"S","E"))</f>
        <v>Season 9</v>
      </c>
      <c r="H189" t="s">
        <v>212</v>
      </c>
      <c r="I189" s="23" t="s">
        <v>305</v>
      </c>
    </row>
    <row r="190" spans="1:9" hidden="1" x14ac:dyDescent="0.3">
      <c r="A190" t="str" cm="1">
        <f t="array" ref="A190">"Season " &amp; _xlfn.NUMBERVALUE(St_TextBetween(B190,"S","E"))</f>
        <v>Season 9</v>
      </c>
      <c r="B190" t="s">
        <v>213</v>
      </c>
      <c r="C190" s="23" t="s">
        <v>305</v>
      </c>
      <c r="G190" t="str" cm="1">
        <f t="array" ref="G190">"Season " &amp; _xlfn.NUMBERVALUE(St_TextBetween(H190,"S","E"))</f>
        <v>Season 9</v>
      </c>
      <c r="H190" t="s">
        <v>213</v>
      </c>
      <c r="I190" s="23" t="s">
        <v>305</v>
      </c>
    </row>
    <row r="191" spans="1:9" hidden="1" x14ac:dyDescent="0.3">
      <c r="A191" t="str" cm="1">
        <f t="array" ref="A191">"Season " &amp; _xlfn.NUMBERVALUE(St_TextBetween(B191,"S","E"))</f>
        <v>Season 9</v>
      </c>
      <c r="B191" t="s">
        <v>214</v>
      </c>
      <c r="G191" t="str" cm="1">
        <f t="array" ref="G191">"Season " &amp; _xlfn.NUMBERVALUE(St_TextBetween(H191,"S","E"))</f>
        <v>Season 9</v>
      </c>
      <c r="H191" t="s">
        <v>214</v>
      </c>
    </row>
    <row r="192" spans="1:9" hidden="1" x14ac:dyDescent="0.3">
      <c r="A192" t="str" cm="1">
        <f t="array" ref="A192">"Season " &amp; _xlfn.NUMBERVALUE(St_TextBetween(B192,"S","E"))</f>
        <v>Season 9</v>
      </c>
      <c r="B192" t="s">
        <v>215</v>
      </c>
      <c r="G192" t="str" cm="1">
        <f t="array" ref="G192">"Season " &amp; _xlfn.NUMBERVALUE(St_TextBetween(H192,"S","E"))</f>
        <v>Season 9</v>
      </c>
      <c r="H192" t="s">
        <v>215</v>
      </c>
    </row>
    <row r="193" spans="1:8" hidden="1" x14ac:dyDescent="0.3">
      <c r="A193" t="str" cm="1">
        <f t="array" ref="A193">"Season " &amp; _xlfn.NUMBERVALUE(St_TextBetween(B193,"S","E"))</f>
        <v>Season 9</v>
      </c>
      <c r="B193" t="s">
        <v>216</v>
      </c>
      <c r="G193" t="str" cm="1">
        <f t="array" ref="G193">"Season " &amp; _xlfn.NUMBERVALUE(St_TextBetween(H193,"S","E"))</f>
        <v>Season 9</v>
      </c>
      <c r="H193" t="s">
        <v>216</v>
      </c>
    </row>
    <row r="194" spans="1:8" hidden="1" x14ac:dyDescent="0.3">
      <c r="A194" t="str" cm="1">
        <f t="array" ref="A194">"Season " &amp; _xlfn.NUMBERVALUE(St_TextBetween(B194,"S","E"))</f>
        <v>Season 9</v>
      </c>
      <c r="B194" t="s">
        <v>217</v>
      </c>
      <c r="G194" t="str" cm="1">
        <f t="array" ref="G194">"Season " &amp; _xlfn.NUMBERVALUE(St_TextBetween(H194,"S","E"))</f>
        <v>Season 9</v>
      </c>
      <c r="H194" t="s">
        <v>217</v>
      </c>
    </row>
    <row r="195" spans="1:8" hidden="1" x14ac:dyDescent="0.3">
      <c r="A195" t="str" cm="1">
        <f t="array" ref="A195">"Season " &amp; _xlfn.NUMBERVALUE(St_TextBetween(B195,"S","E"))</f>
        <v>Season 9</v>
      </c>
      <c r="B195" t="s">
        <v>218</v>
      </c>
      <c r="G195" t="str" cm="1">
        <f t="array" ref="G195">"Season " &amp; _xlfn.NUMBERVALUE(St_TextBetween(H195,"S","E"))</f>
        <v>Season 9</v>
      </c>
      <c r="H195" t="s">
        <v>218</v>
      </c>
    </row>
    <row r="196" spans="1:8" hidden="1" x14ac:dyDescent="0.3">
      <c r="A196" t="str" cm="1">
        <f t="array" ref="A196">"Season " &amp; _xlfn.NUMBERVALUE(St_TextBetween(B196,"S","E"))</f>
        <v>Season 9</v>
      </c>
      <c r="B196" t="s">
        <v>219</v>
      </c>
      <c r="G196" t="str" cm="1">
        <f t="array" ref="G196">"Season " &amp; _xlfn.NUMBERVALUE(St_TextBetween(H196,"S","E"))</f>
        <v>Season 9</v>
      </c>
      <c r="H196" t="s">
        <v>219</v>
      </c>
    </row>
    <row r="197" spans="1:8" hidden="1" x14ac:dyDescent="0.3">
      <c r="A197" t="str" cm="1">
        <f t="array" ref="A197">"Season " &amp; _xlfn.NUMBERVALUE(St_TextBetween(B197,"S","E"))</f>
        <v>Season 9</v>
      </c>
      <c r="B197" t="s">
        <v>220</v>
      </c>
      <c r="G197" t="str" cm="1">
        <f t="array" ref="G197">"Season " &amp; _xlfn.NUMBERVALUE(St_TextBetween(H197,"S","E"))</f>
        <v>Season 9</v>
      </c>
      <c r="H197" t="s">
        <v>220</v>
      </c>
    </row>
    <row r="198" spans="1:8" hidden="1" x14ac:dyDescent="0.3">
      <c r="A198" t="str" cm="1">
        <f t="array" ref="A198">"Season " &amp; _xlfn.NUMBERVALUE(St_TextBetween(B198,"S","E"))</f>
        <v>Season 9</v>
      </c>
      <c r="B198" t="s">
        <v>221</v>
      </c>
      <c r="G198" t="str" cm="1">
        <f t="array" ref="G198">"Season " &amp; _xlfn.NUMBERVALUE(St_TextBetween(H198,"S","E"))</f>
        <v>Season 9</v>
      </c>
      <c r="H198" t="s">
        <v>221</v>
      </c>
    </row>
    <row r="199" spans="1:8" hidden="1" x14ac:dyDescent="0.3">
      <c r="A199" t="str" cm="1">
        <f t="array" ref="A199">"Season " &amp; _xlfn.NUMBERVALUE(St_TextBetween(B199,"S","E"))</f>
        <v>Season 9</v>
      </c>
      <c r="B199" t="s">
        <v>222</v>
      </c>
      <c r="G199" t="str" cm="1">
        <f t="array" ref="G199">"Season " &amp; _xlfn.NUMBERVALUE(St_TextBetween(H199,"S","E"))</f>
        <v>Season 9</v>
      </c>
      <c r="H199" t="s">
        <v>222</v>
      </c>
    </row>
    <row r="200" spans="1:8" hidden="1" x14ac:dyDescent="0.3">
      <c r="A200" t="str" cm="1">
        <f t="array" ref="A200">"Season " &amp; _xlfn.NUMBERVALUE(St_TextBetween(B200,"S","E"))</f>
        <v>Season 9</v>
      </c>
      <c r="B200" t="s">
        <v>223</v>
      </c>
      <c r="G200" t="str" cm="1">
        <f t="array" ref="G200">"Season " &amp; _xlfn.NUMBERVALUE(St_TextBetween(H200,"S","E"))</f>
        <v>Season 9</v>
      </c>
      <c r="H200" t="s">
        <v>223</v>
      </c>
    </row>
    <row r="201" spans="1:8" hidden="1" x14ac:dyDescent="0.3">
      <c r="A201" t="str" cm="1">
        <f t="array" ref="A201">"Season " &amp; _xlfn.NUMBERVALUE(St_TextBetween(B201,"S","E"))</f>
        <v>Season 9</v>
      </c>
      <c r="B201" t="s">
        <v>224</v>
      </c>
      <c r="G201" t="str" cm="1">
        <f t="array" ref="G201">"Season " &amp; _xlfn.NUMBERVALUE(St_TextBetween(H201,"S","E"))</f>
        <v>Season 9</v>
      </c>
      <c r="H201" t="s">
        <v>224</v>
      </c>
    </row>
    <row r="202" spans="1:8" hidden="1" x14ac:dyDescent="0.3">
      <c r="A202" t="str" cm="1">
        <f t="array" ref="A202">"Season " &amp; _xlfn.NUMBERVALUE(St_TextBetween(B202,"S","E"))</f>
        <v>Season 9</v>
      </c>
      <c r="B202" t="s">
        <v>225</v>
      </c>
      <c r="G202" t="str" cm="1">
        <f t="array" ref="G202">"Season " &amp; _xlfn.NUMBERVALUE(St_TextBetween(H202,"S","E"))</f>
        <v>Season 9</v>
      </c>
      <c r="H202" t="s">
        <v>225</v>
      </c>
    </row>
    <row r="203" spans="1:8" hidden="1" x14ac:dyDescent="0.3">
      <c r="A203" t="str" cm="1">
        <f t="array" ref="A203">"Season " &amp; _xlfn.NUMBERVALUE(St_TextBetween(B203,"S","E"))</f>
        <v>Season 9</v>
      </c>
      <c r="B203" t="s">
        <v>226</v>
      </c>
      <c r="G203" t="str" cm="1">
        <f t="array" ref="G203">"Season " &amp; _xlfn.NUMBERVALUE(St_TextBetween(H203,"S","E"))</f>
        <v>Season 9</v>
      </c>
      <c r="H203" t="s">
        <v>226</v>
      </c>
    </row>
    <row r="204" spans="1:8" hidden="1" x14ac:dyDescent="0.3">
      <c r="A204" t="str" cm="1">
        <f t="array" ref="A204">"Season " &amp; _xlfn.NUMBERVALUE(St_TextBetween(B204,"S","E"))</f>
        <v>Season 9</v>
      </c>
      <c r="B204" t="s">
        <v>227</v>
      </c>
      <c r="G204" t="str" cm="1">
        <f t="array" ref="G204">"Season " &amp; _xlfn.NUMBERVALUE(St_TextBetween(H204,"S","E"))</f>
        <v>Season 9</v>
      </c>
      <c r="H204" t="s">
        <v>227</v>
      </c>
    </row>
    <row r="205" spans="1:8" hidden="1" x14ac:dyDescent="0.3">
      <c r="A205" t="str" cm="1">
        <f t="array" ref="A205">"Season " &amp; _xlfn.NUMBERVALUE(St_TextBetween(B205,"S","E"))</f>
        <v>Season 9</v>
      </c>
      <c r="B205" t="s">
        <v>228</v>
      </c>
      <c r="G205" t="str" cm="1">
        <f t="array" ref="G205">"Season " &amp; _xlfn.NUMBERVALUE(St_TextBetween(H205,"S","E"))</f>
        <v>Season 9</v>
      </c>
      <c r="H205" t="s">
        <v>228</v>
      </c>
    </row>
    <row r="206" spans="1:8" hidden="1" x14ac:dyDescent="0.3">
      <c r="A206" t="str" cm="1">
        <f t="array" ref="A206">"Season " &amp; _xlfn.NUMBERVALUE(St_TextBetween(B206,"S","E"))</f>
        <v>Season 9</v>
      </c>
      <c r="B206" t="s">
        <v>229</v>
      </c>
      <c r="G206" t="str" cm="1">
        <f t="array" ref="G206">"Season " &amp; _xlfn.NUMBERVALUE(St_TextBetween(H206,"S","E"))</f>
        <v>Season 9</v>
      </c>
      <c r="H206" t="s">
        <v>229</v>
      </c>
    </row>
    <row r="207" spans="1:8" hidden="1" x14ac:dyDescent="0.3">
      <c r="A207" t="str" cm="1">
        <f t="array" ref="A207">"Season " &amp; _xlfn.NUMBERVALUE(St_TextBetween(B207,"S","E"))</f>
        <v>Season 9</v>
      </c>
      <c r="B207" t="s">
        <v>230</v>
      </c>
      <c r="G207" t="str" cm="1">
        <f t="array" ref="G207">"Season " &amp; _xlfn.NUMBERVALUE(St_TextBetween(H207,"S","E"))</f>
        <v>Season 9</v>
      </c>
      <c r="H207" t="s">
        <v>230</v>
      </c>
    </row>
    <row r="208" spans="1:8" hidden="1" x14ac:dyDescent="0.3">
      <c r="A208" t="str" cm="1">
        <f t="array" ref="A208">"Season " &amp; _xlfn.NUMBERVALUE(St_TextBetween(B208,"S","E"))</f>
        <v>Season 9</v>
      </c>
      <c r="B208" t="s">
        <v>231</v>
      </c>
      <c r="G208" t="str" cm="1">
        <f t="array" ref="G208">"Season " &amp; _xlfn.NUMBERVALUE(St_TextBetween(H208,"S","E"))</f>
        <v>Season 9</v>
      </c>
      <c r="H208" t="s">
        <v>231</v>
      </c>
    </row>
    <row r="209" spans="1:9" hidden="1" x14ac:dyDescent="0.3">
      <c r="A209" t="str" cm="1">
        <f t="array" ref="A209">"Season " &amp; _xlfn.NUMBERVALUE(St_TextBetween(B209,"S","E"))</f>
        <v>Season 9</v>
      </c>
      <c r="B209" t="s">
        <v>232</v>
      </c>
      <c r="G209" t="str" cm="1">
        <f t="array" ref="G209">"Season " &amp; _xlfn.NUMBERVALUE(St_TextBetween(H209,"S","E"))</f>
        <v>Season 9</v>
      </c>
      <c r="H209" t="s">
        <v>232</v>
      </c>
    </row>
    <row r="210" spans="1:9" hidden="1" x14ac:dyDescent="0.3">
      <c r="A210" t="str" cm="1">
        <f t="array" ref="A210">"Season " &amp; _xlfn.NUMBERVALUE(St_TextBetween(B210,"S","E"))</f>
        <v>Season 10</v>
      </c>
      <c r="B210" t="s">
        <v>233</v>
      </c>
      <c r="C210" s="23" t="s">
        <v>305</v>
      </c>
      <c r="G210" t="str" cm="1">
        <f t="array" ref="G210">"Season " &amp; _xlfn.NUMBERVALUE(St_TextBetween(H210,"S","E"))</f>
        <v>Season 10</v>
      </c>
      <c r="H210" t="s">
        <v>233</v>
      </c>
      <c r="I210" s="23" t="s">
        <v>305</v>
      </c>
    </row>
    <row r="211" spans="1:9" hidden="1" x14ac:dyDescent="0.3">
      <c r="A211" t="str" cm="1">
        <f t="array" ref="A211">"Season " &amp; _xlfn.NUMBERVALUE(St_TextBetween(B211,"S","E"))</f>
        <v>Season 10</v>
      </c>
      <c r="B211" t="s">
        <v>234</v>
      </c>
      <c r="G211" t="str" cm="1">
        <f t="array" ref="G211">"Season " &amp; _xlfn.NUMBERVALUE(St_TextBetween(H211,"S","E"))</f>
        <v>Season 10</v>
      </c>
      <c r="H211" t="s">
        <v>234</v>
      </c>
    </row>
    <row r="212" spans="1:9" hidden="1" x14ac:dyDescent="0.3">
      <c r="A212" t="str" cm="1">
        <f t="array" ref="A212">"Season " &amp; _xlfn.NUMBERVALUE(St_TextBetween(B212,"S","E"))</f>
        <v>Season 10</v>
      </c>
      <c r="B212" t="s">
        <v>235</v>
      </c>
      <c r="G212" t="str" cm="1">
        <f t="array" ref="G212">"Season " &amp; _xlfn.NUMBERVALUE(St_TextBetween(H212,"S","E"))</f>
        <v>Season 10</v>
      </c>
      <c r="H212" t="s">
        <v>235</v>
      </c>
    </row>
    <row r="213" spans="1:9" hidden="1" x14ac:dyDescent="0.3">
      <c r="A213" t="str" cm="1">
        <f t="array" ref="A213">"Season " &amp; _xlfn.NUMBERVALUE(St_TextBetween(B213,"S","E"))</f>
        <v>Season 10</v>
      </c>
      <c r="B213" t="s">
        <v>236</v>
      </c>
      <c r="G213" t="str" cm="1">
        <f t="array" ref="G213">"Season " &amp; _xlfn.NUMBERVALUE(St_TextBetween(H213,"S","E"))</f>
        <v>Season 10</v>
      </c>
      <c r="H213" t="s">
        <v>236</v>
      </c>
    </row>
    <row r="214" spans="1:9" hidden="1" x14ac:dyDescent="0.3">
      <c r="A214" t="str" cm="1">
        <f t="array" ref="A214">"Season " &amp; _xlfn.NUMBERVALUE(St_TextBetween(B214,"S","E"))</f>
        <v>Season 10</v>
      </c>
      <c r="B214" t="s">
        <v>237</v>
      </c>
      <c r="G214" t="str" cm="1">
        <f t="array" ref="G214">"Season " &amp; _xlfn.NUMBERVALUE(St_TextBetween(H214,"S","E"))</f>
        <v>Season 10</v>
      </c>
      <c r="H214" t="s">
        <v>237</v>
      </c>
    </row>
    <row r="215" spans="1:9" hidden="1" x14ac:dyDescent="0.3">
      <c r="A215" t="str" cm="1">
        <f t="array" ref="A215">"Season " &amp; _xlfn.NUMBERVALUE(St_TextBetween(B215,"S","E"))</f>
        <v>Season 10</v>
      </c>
      <c r="B215" t="s">
        <v>238</v>
      </c>
      <c r="G215" t="str" cm="1">
        <f t="array" ref="G215">"Season " &amp; _xlfn.NUMBERVALUE(St_TextBetween(H215,"S","E"))</f>
        <v>Season 10</v>
      </c>
      <c r="H215" t="s">
        <v>238</v>
      </c>
    </row>
    <row r="216" spans="1:9" hidden="1" x14ac:dyDescent="0.3">
      <c r="A216" t="str" cm="1">
        <f t="array" ref="A216">"Season " &amp; _xlfn.NUMBERVALUE(St_TextBetween(B216,"S","E"))</f>
        <v>Season 10</v>
      </c>
      <c r="B216" t="s">
        <v>239</v>
      </c>
      <c r="G216" t="str" cm="1">
        <f t="array" ref="G216">"Season " &amp; _xlfn.NUMBERVALUE(St_TextBetween(H216,"S","E"))</f>
        <v>Season 10</v>
      </c>
      <c r="H216" t="s">
        <v>239</v>
      </c>
    </row>
    <row r="217" spans="1:9" hidden="1" x14ac:dyDescent="0.3">
      <c r="A217" t="str" cm="1">
        <f t="array" ref="A217">"Season " &amp; _xlfn.NUMBERVALUE(St_TextBetween(B217,"S","E"))</f>
        <v>Season 10</v>
      </c>
      <c r="B217" t="s">
        <v>240</v>
      </c>
      <c r="G217" t="str" cm="1">
        <f t="array" ref="G217">"Season " &amp; _xlfn.NUMBERVALUE(St_TextBetween(H217,"S","E"))</f>
        <v>Season 10</v>
      </c>
      <c r="H217" t="s">
        <v>240</v>
      </c>
    </row>
    <row r="218" spans="1:9" hidden="1" x14ac:dyDescent="0.3">
      <c r="A218" t="str" cm="1">
        <f t="array" ref="A218">"Season " &amp; _xlfn.NUMBERVALUE(St_TextBetween(B218,"S","E"))</f>
        <v>Season 10</v>
      </c>
      <c r="B218" t="s">
        <v>241</v>
      </c>
      <c r="G218" t="str" cm="1">
        <f t="array" ref="G218">"Season " &amp; _xlfn.NUMBERVALUE(St_TextBetween(H218,"S","E"))</f>
        <v>Season 10</v>
      </c>
      <c r="H218" t="s">
        <v>241</v>
      </c>
    </row>
    <row r="219" spans="1:9" hidden="1" x14ac:dyDescent="0.3">
      <c r="A219" t="str" cm="1">
        <f t="array" ref="A219">"Season " &amp; _xlfn.NUMBERVALUE(St_TextBetween(B219,"S","E"))</f>
        <v>Season 10</v>
      </c>
      <c r="B219" t="s">
        <v>242</v>
      </c>
      <c r="G219" t="str" cm="1">
        <f t="array" ref="G219">"Season " &amp; _xlfn.NUMBERVALUE(St_TextBetween(H219,"S","E"))</f>
        <v>Season 10</v>
      </c>
      <c r="H219" t="s">
        <v>242</v>
      </c>
    </row>
    <row r="220" spans="1:9" hidden="1" x14ac:dyDescent="0.3">
      <c r="A220" t="str" cm="1">
        <f t="array" ref="A220">"Season " &amp; _xlfn.NUMBERVALUE(St_TextBetween(B220,"S","E"))</f>
        <v>Season 10</v>
      </c>
      <c r="B220" t="s">
        <v>243</v>
      </c>
      <c r="G220" t="str" cm="1">
        <f t="array" ref="G220">"Season " &amp; _xlfn.NUMBERVALUE(St_TextBetween(H220,"S","E"))</f>
        <v>Season 10</v>
      </c>
      <c r="H220" t="s">
        <v>243</v>
      </c>
    </row>
    <row r="221" spans="1:9" hidden="1" x14ac:dyDescent="0.3">
      <c r="A221" t="str" cm="1">
        <f t="array" ref="A221">"Season " &amp; _xlfn.NUMBERVALUE(St_TextBetween(B221,"S","E"))</f>
        <v>Season 10</v>
      </c>
      <c r="B221" t="s">
        <v>244</v>
      </c>
      <c r="G221" t="str" cm="1">
        <f t="array" ref="G221">"Season " &amp; _xlfn.NUMBERVALUE(St_TextBetween(H221,"S","E"))</f>
        <v>Season 10</v>
      </c>
      <c r="H221" t="s">
        <v>244</v>
      </c>
    </row>
    <row r="222" spans="1:9" hidden="1" x14ac:dyDescent="0.3">
      <c r="A222" t="str" cm="1">
        <f t="array" ref="A222">"Season " &amp; _xlfn.NUMBERVALUE(St_TextBetween(B222,"S","E"))</f>
        <v>Season 10</v>
      </c>
      <c r="B222" t="s">
        <v>245</v>
      </c>
      <c r="G222" t="str" cm="1">
        <f t="array" ref="G222">"Season " &amp; _xlfn.NUMBERVALUE(St_TextBetween(H222,"S","E"))</f>
        <v>Season 10</v>
      </c>
      <c r="H222" t="s">
        <v>245</v>
      </c>
    </row>
    <row r="223" spans="1:9" hidden="1" x14ac:dyDescent="0.3">
      <c r="A223" t="str" cm="1">
        <f t="array" ref="A223">"Season " &amp; _xlfn.NUMBERVALUE(St_TextBetween(B223,"S","E"))</f>
        <v>Season 10</v>
      </c>
      <c r="B223" t="s">
        <v>246</v>
      </c>
      <c r="G223" t="str" cm="1">
        <f t="array" ref="G223">"Season " &amp; _xlfn.NUMBERVALUE(St_TextBetween(H223,"S","E"))</f>
        <v>Season 10</v>
      </c>
      <c r="H223" t="s">
        <v>246</v>
      </c>
    </row>
    <row r="224" spans="1:9" hidden="1" x14ac:dyDescent="0.3">
      <c r="A224" t="str" cm="1">
        <f t="array" ref="A224">"Season " &amp; _xlfn.NUMBERVALUE(St_TextBetween(B224,"S","E"))</f>
        <v>Season 10</v>
      </c>
      <c r="B224" t="s">
        <v>247</v>
      </c>
      <c r="G224" t="str" cm="1">
        <f t="array" ref="G224">"Season " &amp; _xlfn.NUMBERVALUE(St_TextBetween(H224,"S","E"))</f>
        <v>Season 10</v>
      </c>
      <c r="H224" t="s">
        <v>247</v>
      </c>
    </row>
    <row r="225" spans="1:8" hidden="1" x14ac:dyDescent="0.3">
      <c r="A225" t="str" cm="1">
        <f t="array" ref="A225">"Season " &amp; _xlfn.NUMBERVALUE(St_TextBetween(B225,"S","E"))</f>
        <v>Season 10</v>
      </c>
      <c r="B225" t="s">
        <v>248</v>
      </c>
      <c r="G225" t="str" cm="1">
        <f t="array" ref="G225">"Season " &amp; _xlfn.NUMBERVALUE(St_TextBetween(H225,"S","E"))</f>
        <v>Season 10</v>
      </c>
      <c r="H225" t="s">
        <v>248</v>
      </c>
    </row>
    <row r="226" spans="1:8" hidden="1" x14ac:dyDescent="0.3">
      <c r="A226" t="str" cm="1">
        <f t="array" ref="A226">"Season " &amp; _xlfn.NUMBERVALUE(St_TextBetween(B226,"S","E"))</f>
        <v>Season 10</v>
      </c>
      <c r="B226" t="s">
        <v>249</v>
      </c>
      <c r="G226" t="str" cm="1">
        <f t="array" ref="G226">"Season " &amp; _xlfn.NUMBERVALUE(St_TextBetween(H226,"S","E"))</f>
        <v>Season 10</v>
      </c>
      <c r="H226" t="s">
        <v>249</v>
      </c>
    </row>
    <row r="227" spans="1:8" hidden="1" x14ac:dyDescent="0.3">
      <c r="A227" t="str" cm="1">
        <f t="array" ref="A227">"Season " &amp; _xlfn.NUMBERVALUE(St_TextBetween(B227,"S","E"))</f>
        <v>Season 10</v>
      </c>
      <c r="B227" t="s">
        <v>250</v>
      </c>
      <c r="G227" t="str" cm="1">
        <f t="array" ref="G227">"Season " &amp; _xlfn.NUMBERVALUE(St_TextBetween(H227,"S","E"))</f>
        <v>Season 10</v>
      </c>
      <c r="H227" t="s">
        <v>250</v>
      </c>
    </row>
    <row r="228" spans="1:8" hidden="1" x14ac:dyDescent="0.3">
      <c r="A228" t="str" cm="1">
        <f t="array" ref="A228">"Season " &amp; _xlfn.NUMBERVALUE(St_TextBetween(B228,"S","E"))</f>
        <v>Season 10</v>
      </c>
      <c r="B228" t="s">
        <v>251</v>
      </c>
      <c r="G228" t="str" cm="1">
        <f t="array" ref="G228">"Season " &amp; _xlfn.NUMBERVALUE(St_TextBetween(H228,"S","E"))</f>
        <v>Season 10</v>
      </c>
      <c r="H228" t="s">
        <v>251</v>
      </c>
    </row>
    <row r="229" spans="1:8" hidden="1" x14ac:dyDescent="0.3">
      <c r="A229" t="str" cm="1">
        <f t="array" ref="A229">"Season " &amp; _xlfn.NUMBERVALUE(St_TextBetween(B229,"S","E"))</f>
        <v>Season 10</v>
      </c>
      <c r="B229" t="s">
        <v>252</v>
      </c>
      <c r="G229" t="str" cm="1">
        <f t="array" ref="G229">"Season " &amp; _xlfn.NUMBERVALUE(St_TextBetween(H229,"S","E"))</f>
        <v>Season 10</v>
      </c>
      <c r="H229" t="s">
        <v>252</v>
      </c>
    </row>
    <row r="230" spans="1:8" hidden="1" x14ac:dyDescent="0.3">
      <c r="A230" t="str" cm="1">
        <f t="array" ref="A230">"Season " &amp; _xlfn.NUMBERVALUE(St_TextBetween(B230,"S","E"))</f>
        <v>Season 10</v>
      </c>
      <c r="B230" t="s">
        <v>253</v>
      </c>
      <c r="G230" t="str" cm="1">
        <f t="array" ref="G230">"Season " &amp; _xlfn.NUMBERVALUE(St_TextBetween(H230,"S","E"))</f>
        <v>Season 10</v>
      </c>
      <c r="H230" t="s">
        <v>253</v>
      </c>
    </row>
    <row r="231" spans="1:8" hidden="1" x14ac:dyDescent="0.3">
      <c r="A231" t="str" cm="1">
        <f t="array" ref="A231">"Season " &amp; _xlfn.NUMBERVALUE(St_TextBetween(B231,"S","E"))</f>
        <v>Season 10</v>
      </c>
      <c r="B231" t="s">
        <v>254</v>
      </c>
      <c r="G231" t="str" cm="1">
        <f t="array" ref="G231">"Season " &amp; _xlfn.NUMBERVALUE(St_TextBetween(H231,"S","E"))</f>
        <v>Season 10</v>
      </c>
      <c r="H231" t="s">
        <v>254</v>
      </c>
    </row>
    <row r="232" spans="1:8" hidden="1" x14ac:dyDescent="0.3">
      <c r="A232" t="str" cm="1">
        <f t="array" ref="A232">"Season " &amp; _xlfn.NUMBERVALUE(St_TextBetween(B232,"S","E"))</f>
        <v>Season 10</v>
      </c>
      <c r="B232" t="s">
        <v>255</v>
      </c>
      <c r="G232" t="str" cm="1">
        <f t="array" ref="G232">"Season " &amp; _xlfn.NUMBERVALUE(St_TextBetween(H232,"S","E"))</f>
        <v>Season 10</v>
      </c>
      <c r="H232" t="s">
        <v>255</v>
      </c>
    </row>
    <row r="233" spans="1:8" hidden="1" x14ac:dyDescent="0.3">
      <c r="A233" t="str" cm="1">
        <f t="array" ref="A233">"Season " &amp; _xlfn.NUMBERVALUE(St_TextBetween(B233,"S","E"))</f>
        <v>Season 10</v>
      </c>
      <c r="B233" t="s">
        <v>256</v>
      </c>
      <c r="G233" t="str" cm="1">
        <f t="array" ref="G233">"Season " &amp; _xlfn.NUMBERVALUE(St_TextBetween(H233,"S","E"))</f>
        <v>Season 10</v>
      </c>
      <c r="H233" t="s">
        <v>256</v>
      </c>
    </row>
    <row r="234" spans="1:8" hidden="1" x14ac:dyDescent="0.3">
      <c r="A234" t="str" cm="1">
        <f t="array" ref="A234">"Season " &amp; _xlfn.NUMBERVALUE(St_TextBetween(B234,"S","E"))</f>
        <v>Season 11</v>
      </c>
      <c r="B234" t="s">
        <v>257</v>
      </c>
      <c r="G234" t="str" cm="1">
        <f t="array" ref="G234">"Season " &amp; _xlfn.NUMBERVALUE(St_TextBetween(H234,"S","E"))</f>
        <v>Season 11</v>
      </c>
      <c r="H234" t="s">
        <v>257</v>
      </c>
    </row>
    <row r="235" spans="1:8" hidden="1" x14ac:dyDescent="0.3">
      <c r="A235" t="str" cm="1">
        <f t="array" ref="A235">"Season " &amp; _xlfn.NUMBERVALUE(St_TextBetween(B235,"S","E"))</f>
        <v>Season 11</v>
      </c>
      <c r="B235" t="s">
        <v>258</v>
      </c>
      <c r="G235" t="str" cm="1">
        <f t="array" ref="G235">"Season " &amp; _xlfn.NUMBERVALUE(St_TextBetween(H235,"S","E"))</f>
        <v>Season 11</v>
      </c>
      <c r="H235" t="s">
        <v>258</v>
      </c>
    </row>
    <row r="236" spans="1:8" hidden="1" x14ac:dyDescent="0.3">
      <c r="A236" t="str" cm="1">
        <f t="array" ref="A236">"Season " &amp; _xlfn.NUMBERVALUE(St_TextBetween(B236,"S","E"))</f>
        <v>Season 11</v>
      </c>
      <c r="B236" t="s">
        <v>259</v>
      </c>
      <c r="G236" t="str" cm="1">
        <f t="array" ref="G236">"Season " &amp; _xlfn.NUMBERVALUE(St_TextBetween(H236,"S","E"))</f>
        <v>Season 11</v>
      </c>
      <c r="H236" t="s">
        <v>259</v>
      </c>
    </row>
    <row r="237" spans="1:8" hidden="1" x14ac:dyDescent="0.3">
      <c r="A237" t="str" cm="1">
        <f t="array" ref="A237">"Season " &amp; _xlfn.NUMBERVALUE(St_TextBetween(B237,"S","E"))</f>
        <v>Season 11</v>
      </c>
      <c r="B237" t="s">
        <v>260</v>
      </c>
      <c r="G237" t="str" cm="1">
        <f t="array" ref="G237">"Season " &amp; _xlfn.NUMBERVALUE(St_TextBetween(H237,"S","E"))</f>
        <v>Season 11</v>
      </c>
      <c r="H237" t="s">
        <v>260</v>
      </c>
    </row>
    <row r="238" spans="1:8" hidden="1" x14ac:dyDescent="0.3">
      <c r="A238" t="str" cm="1">
        <f t="array" ref="A238">"Season " &amp; _xlfn.NUMBERVALUE(St_TextBetween(B238,"S","E"))</f>
        <v>Season 11</v>
      </c>
      <c r="B238" t="s">
        <v>261</v>
      </c>
      <c r="G238" t="str" cm="1">
        <f t="array" ref="G238">"Season " &amp; _xlfn.NUMBERVALUE(St_TextBetween(H238,"S","E"))</f>
        <v>Season 11</v>
      </c>
      <c r="H238" t="s">
        <v>261</v>
      </c>
    </row>
    <row r="239" spans="1:8" hidden="1" x14ac:dyDescent="0.3">
      <c r="A239" t="str" cm="1">
        <f t="array" ref="A239">"Season " &amp; _xlfn.NUMBERVALUE(St_TextBetween(B239,"S","E"))</f>
        <v>Season 11</v>
      </c>
      <c r="B239" t="s">
        <v>262</v>
      </c>
      <c r="G239" t="str" cm="1">
        <f t="array" ref="G239">"Season " &amp; _xlfn.NUMBERVALUE(St_TextBetween(H239,"S","E"))</f>
        <v>Season 11</v>
      </c>
      <c r="H239" t="s">
        <v>262</v>
      </c>
    </row>
    <row r="240" spans="1:8" hidden="1" x14ac:dyDescent="0.3">
      <c r="A240" t="str" cm="1">
        <f t="array" ref="A240">"Season " &amp; _xlfn.NUMBERVALUE(St_TextBetween(B240,"S","E"))</f>
        <v>Season 11</v>
      </c>
      <c r="B240" t="s">
        <v>263</v>
      </c>
      <c r="G240" t="str" cm="1">
        <f t="array" ref="G240">"Season " &amp; _xlfn.NUMBERVALUE(St_TextBetween(H240,"S","E"))</f>
        <v>Season 11</v>
      </c>
      <c r="H240" t="s">
        <v>263</v>
      </c>
    </row>
    <row r="241" spans="1:8" hidden="1" x14ac:dyDescent="0.3">
      <c r="A241" t="str" cm="1">
        <f t="array" ref="A241">"Season " &amp; _xlfn.NUMBERVALUE(St_TextBetween(B241,"S","E"))</f>
        <v>Season 11</v>
      </c>
      <c r="B241" t="s">
        <v>264</v>
      </c>
      <c r="G241" t="str" cm="1">
        <f t="array" ref="G241">"Season " &amp; _xlfn.NUMBERVALUE(St_TextBetween(H241,"S","E"))</f>
        <v>Season 11</v>
      </c>
      <c r="H241" t="s">
        <v>264</v>
      </c>
    </row>
    <row r="242" spans="1:8" hidden="1" x14ac:dyDescent="0.3">
      <c r="A242" t="str" cm="1">
        <f t="array" ref="A242">"Season " &amp; _xlfn.NUMBERVALUE(St_TextBetween(B242,"S","E"))</f>
        <v>Season 11</v>
      </c>
      <c r="B242" t="s">
        <v>265</v>
      </c>
      <c r="G242" t="str" cm="1">
        <f t="array" ref="G242">"Season " &amp; _xlfn.NUMBERVALUE(St_TextBetween(H242,"S","E"))</f>
        <v>Season 11</v>
      </c>
      <c r="H242" t="s">
        <v>265</v>
      </c>
    </row>
    <row r="243" spans="1:8" hidden="1" x14ac:dyDescent="0.3">
      <c r="A243" t="str" cm="1">
        <f t="array" ref="A243">"Season " &amp; _xlfn.NUMBERVALUE(St_TextBetween(B243,"S","E"))</f>
        <v>Season 11</v>
      </c>
      <c r="B243" t="s">
        <v>266</v>
      </c>
      <c r="G243" t="str" cm="1">
        <f t="array" ref="G243">"Season " &amp; _xlfn.NUMBERVALUE(St_TextBetween(H243,"S","E"))</f>
        <v>Season 11</v>
      </c>
      <c r="H243" t="s">
        <v>266</v>
      </c>
    </row>
    <row r="244" spans="1:8" hidden="1" x14ac:dyDescent="0.3">
      <c r="A244" t="str" cm="1">
        <f t="array" ref="A244">"Season " &amp; _xlfn.NUMBERVALUE(St_TextBetween(B244,"S","E"))</f>
        <v>Season 11</v>
      </c>
      <c r="B244" t="s">
        <v>267</v>
      </c>
      <c r="G244" t="str" cm="1">
        <f t="array" ref="G244">"Season " &amp; _xlfn.NUMBERVALUE(St_TextBetween(H244,"S","E"))</f>
        <v>Season 11</v>
      </c>
      <c r="H244" t="s">
        <v>267</v>
      </c>
    </row>
    <row r="245" spans="1:8" hidden="1" x14ac:dyDescent="0.3">
      <c r="A245" t="str" cm="1">
        <f t="array" ref="A245">"Season " &amp; _xlfn.NUMBERVALUE(St_TextBetween(B245,"S","E"))</f>
        <v>Season 11</v>
      </c>
      <c r="B245" t="s">
        <v>268</v>
      </c>
      <c r="G245" t="str" cm="1">
        <f t="array" ref="G245">"Season " &amp; _xlfn.NUMBERVALUE(St_TextBetween(H245,"S","E"))</f>
        <v>Season 11</v>
      </c>
      <c r="H245" t="s">
        <v>268</v>
      </c>
    </row>
    <row r="246" spans="1:8" hidden="1" x14ac:dyDescent="0.3">
      <c r="A246" t="str" cm="1">
        <f t="array" ref="A246">"Season " &amp; _xlfn.NUMBERVALUE(St_TextBetween(B246,"S","E"))</f>
        <v>Season 11</v>
      </c>
      <c r="B246" t="s">
        <v>269</v>
      </c>
      <c r="G246" t="str" cm="1">
        <f t="array" ref="G246">"Season " &amp; _xlfn.NUMBERVALUE(St_TextBetween(H246,"S","E"))</f>
        <v>Season 11</v>
      </c>
      <c r="H246" t="s">
        <v>269</v>
      </c>
    </row>
    <row r="247" spans="1:8" hidden="1" x14ac:dyDescent="0.3">
      <c r="A247" t="str" cm="1">
        <f t="array" ref="A247">"Season " &amp; _xlfn.NUMBERVALUE(St_TextBetween(B247,"S","E"))</f>
        <v>Season 11</v>
      </c>
      <c r="B247" t="s">
        <v>270</v>
      </c>
      <c r="G247" t="str" cm="1">
        <f t="array" ref="G247">"Season " &amp; _xlfn.NUMBERVALUE(St_TextBetween(H247,"S","E"))</f>
        <v>Season 11</v>
      </c>
      <c r="H247" t="s">
        <v>270</v>
      </c>
    </row>
    <row r="248" spans="1:8" hidden="1" x14ac:dyDescent="0.3">
      <c r="A248" t="str" cm="1">
        <f t="array" ref="A248">"Season " &amp; _xlfn.NUMBERVALUE(St_TextBetween(B248,"S","E"))</f>
        <v>Season 11</v>
      </c>
      <c r="B248" t="s">
        <v>271</v>
      </c>
      <c r="G248" t="str" cm="1">
        <f t="array" ref="G248">"Season " &amp; _xlfn.NUMBERVALUE(St_TextBetween(H248,"S","E"))</f>
        <v>Season 11</v>
      </c>
      <c r="H248" t="s">
        <v>271</v>
      </c>
    </row>
    <row r="249" spans="1:8" hidden="1" x14ac:dyDescent="0.3">
      <c r="A249" t="str" cm="1">
        <f t="array" ref="A249">"Season " &amp; _xlfn.NUMBERVALUE(St_TextBetween(B249,"S","E"))</f>
        <v>Season 11</v>
      </c>
      <c r="B249" t="s">
        <v>272</v>
      </c>
      <c r="G249" t="str" cm="1">
        <f t="array" ref="G249">"Season " &amp; _xlfn.NUMBERVALUE(St_TextBetween(H249,"S","E"))</f>
        <v>Season 11</v>
      </c>
      <c r="H249" t="s">
        <v>272</v>
      </c>
    </row>
    <row r="250" spans="1:8" hidden="1" x14ac:dyDescent="0.3">
      <c r="A250" t="str" cm="1">
        <f t="array" ref="A250">"Season " &amp; _xlfn.NUMBERVALUE(St_TextBetween(B250,"S","E"))</f>
        <v>Season 11</v>
      </c>
      <c r="B250" t="s">
        <v>273</v>
      </c>
      <c r="G250" t="str" cm="1">
        <f t="array" ref="G250">"Season " &amp; _xlfn.NUMBERVALUE(St_TextBetween(H250,"S","E"))</f>
        <v>Season 11</v>
      </c>
      <c r="H250" t="s">
        <v>273</v>
      </c>
    </row>
    <row r="251" spans="1:8" hidden="1" x14ac:dyDescent="0.3">
      <c r="A251" t="str" cm="1">
        <f t="array" ref="A251">"Season " &amp; _xlfn.NUMBERVALUE(St_TextBetween(B251,"S","E"))</f>
        <v>Season 11</v>
      </c>
      <c r="B251" t="s">
        <v>274</v>
      </c>
      <c r="G251" t="str" cm="1">
        <f t="array" ref="G251">"Season " &amp; _xlfn.NUMBERVALUE(St_TextBetween(H251,"S","E"))</f>
        <v>Season 11</v>
      </c>
      <c r="H251" t="s">
        <v>274</v>
      </c>
    </row>
    <row r="252" spans="1:8" hidden="1" x14ac:dyDescent="0.3">
      <c r="A252" t="str" cm="1">
        <f t="array" ref="A252">"Season " &amp; _xlfn.NUMBERVALUE(St_TextBetween(B252,"S","E"))</f>
        <v>Season 11</v>
      </c>
      <c r="B252" t="s">
        <v>275</v>
      </c>
      <c r="G252" t="str" cm="1">
        <f t="array" ref="G252">"Season " &amp; _xlfn.NUMBERVALUE(St_TextBetween(H252,"S","E"))</f>
        <v>Season 11</v>
      </c>
      <c r="H252" t="s">
        <v>275</v>
      </c>
    </row>
    <row r="253" spans="1:8" hidden="1" x14ac:dyDescent="0.3">
      <c r="A253" t="str" cm="1">
        <f t="array" ref="A253">"Season " &amp; _xlfn.NUMBERVALUE(St_TextBetween(B253,"S","E"))</f>
        <v>Season 11</v>
      </c>
      <c r="B253" t="s">
        <v>276</v>
      </c>
      <c r="G253" t="str" cm="1">
        <f t="array" ref="G253">"Season " &amp; _xlfn.NUMBERVALUE(St_TextBetween(H253,"S","E"))</f>
        <v>Season 11</v>
      </c>
      <c r="H253" t="s">
        <v>276</v>
      </c>
    </row>
    <row r="254" spans="1:8" hidden="1" x14ac:dyDescent="0.3">
      <c r="A254" t="str" cm="1">
        <f t="array" ref="A254">"Season " &amp; _xlfn.NUMBERVALUE(St_TextBetween(B254,"S","E"))</f>
        <v>Season 11</v>
      </c>
      <c r="B254" t="s">
        <v>277</v>
      </c>
      <c r="G254" t="str" cm="1">
        <f t="array" ref="G254">"Season " &amp; _xlfn.NUMBERVALUE(St_TextBetween(H254,"S","E"))</f>
        <v>Season 11</v>
      </c>
      <c r="H254" t="s">
        <v>277</v>
      </c>
    </row>
    <row r="255" spans="1:8" hidden="1" x14ac:dyDescent="0.3">
      <c r="A255" t="str" cm="1">
        <f t="array" ref="A255">"Season " &amp; _xlfn.NUMBERVALUE(St_TextBetween(B255,"S","E"))</f>
        <v>Season 11</v>
      </c>
      <c r="B255" t="s">
        <v>278</v>
      </c>
      <c r="G255" t="str" cm="1">
        <f t="array" ref="G255">"Season " &amp; _xlfn.NUMBERVALUE(St_TextBetween(H255,"S","E"))</f>
        <v>Season 11</v>
      </c>
      <c r="H255" t="s">
        <v>278</v>
      </c>
    </row>
    <row r="256" spans="1:8" hidden="1" x14ac:dyDescent="0.3">
      <c r="A256" t="str" cm="1">
        <f t="array" ref="A256">"Season " &amp; _xlfn.NUMBERVALUE(St_TextBetween(B256,"S","E"))</f>
        <v>Season 11</v>
      </c>
      <c r="B256" t="s">
        <v>279</v>
      </c>
      <c r="G256" t="str" cm="1">
        <f t="array" ref="G256">"Season " &amp; _xlfn.NUMBERVALUE(St_TextBetween(H256,"S","E"))</f>
        <v>Season 11</v>
      </c>
      <c r="H256" t="s">
        <v>279</v>
      </c>
    </row>
    <row r="257" spans="1:8" hidden="1" x14ac:dyDescent="0.3">
      <c r="A257" t="str" cm="1">
        <f t="array" ref="A257">"Season " &amp; _xlfn.NUMBERVALUE(St_TextBetween(B257,"S","E"))</f>
        <v>Season 11</v>
      </c>
      <c r="B257" t="s">
        <v>280</v>
      </c>
      <c r="G257" t="str" cm="1">
        <f t="array" ref="G257">"Season " &amp; _xlfn.NUMBERVALUE(St_TextBetween(H257,"S","E"))</f>
        <v>Season 11</v>
      </c>
      <c r="H257" t="s">
        <v>280</v>
      </c>
    </row>
    <row r="258" spans="1:8" hidden="1" x14ac:dyDescent="0.3">
      <c r="A258" t="str" cm="1">
        <f t="array" ref="A258">"Season " &amp; _xlfn.NUMBERVALUE(St_TextBetween(B258,"S","E"))</f>
        <v>Season 12</v>
      </c>
      <c r="B258" t="s">
        <v>281</v>
      </c>
      <c r="G258" t="str" cm="1">
        <f t="array" ref="G258">"Season " &amp; _xlfn.NUMBERVALUE(St_TextBetween(H258,"S","E"))</f>
        <v>Season 12</v>
      </c>
      <c r="H258" t="s">
        <v>281</v>
      </c>
    </row>
    <row r="259" spans="1:8" hidden="1" x14ac:dyDescent="0.3">
      <c r="A259" t="str" cm="1">
        <f t="array" ref="A259">"Season " &amp; _xlfn.NUMBERVALUE(St_TextBetween(B259,"S","E"))</f>
        <v>Season 12</v>
      </c>
      <c r="B259" t="s">
        <v>282</v>
      </c>
      <c r="G259" t="str" cm="1">
        <f t="array" ref="G259">"Season " &amp; _xlfn.NUMBERVALUE(St_TextBetween(H259,"S","E"))</f>
        <v>Season 12</v>
      </c>
      <c r="H259" t="s">
        <v>282</v>
      </c>
    </row>
    <row r="260" spans="1:8" hidden="1" x14ac:dyDescent="0.3">
      <c r="A260" t="str" cm="1">
        <f t="array" ref="A260">"Season " &amp; _xlfn.NUMBERVALUE(St_TextBetween(B260,"S","E"))</f>
        <v>Season 12</v>
      </c>
      <c r="B260" t="s">
        <v>283</v>
      </c>
      <c r="G260" t="str" cm="1">
        <f t="array" ref="G260">"Season " &amp; _xlfn.NUMBERVALUE(St_TextBetween(H260,"S","E"))</f>
        <v>Season 12</v>
      </c>
      <c r="H260" t="s">
        <v>283</v>
      </c>
    </row>
    <row r="261" spans="1:8" hidden="1" x14ac:dyDescent="0.3">
      <c r="A261" t="str" cm="1">
        <f t="array" ref="A261">"Season " &amp; _xlfn.NUMBERVALUE(St_TextBetween(B261,"S","E"))</f>
        <v>Season 12</v>
      </c>
      <c r="B261" t="s">
        <v>284</v>
      </c>
      <c r="G261" t="str" cm="1">
        <f t="array" ref="G261">"Season " &amp; _xlfn.NUMBERVALUE(St_TextBetween(H261,"S","E"))</f>
        <v>Season 12</v>
      </c>
      <c r="H261" t="s">
        <v>284</v>
      </c>
    </row>
    <row r="262" spans="1:8" hidden="1" x14ac:dyDescent="0.3">
      <c r="A262" t="str" cm="1">
        <f t="array" ref="A262">"Season " &amp; _xlfn.NUMBERVALUE(St_TextBetween(B262,"S","E"))</f>
        <v>Season 12</v>
      </c>
      <c r="B262" t="s">
        <v>285</v>
      </c>
      <c r="G262" t="str" cm="1">
        <f t="array" ref="G262">"Season " &amp; _xlfn.NUMBERVALUE(St_TextBetween(H262,"S","E"))</f>
        <v>Season 12</v>
      </c>
      <c r="H262" t="s">
        <v>285</v>
      </c>
    </row>
    <row r="263" spans="1:8" hidden="1" x14ac:dyDescent="0.3">
      <c r="A263" t="str" cm="1">
        <f t="array" ref="A263">"Season " &amp; _xlfn.NUMBERVALUE(St_TextBetween(B263,"S","E"))</f>
        <v>Season 12</v>
      </c>
      <c r="B263" t="s">
        <v>286</v>
      </c>
      <c r="G263" t="str" cm="1">
        <f t="array" ref="G263">"Season " &amp; _xlfn.NUMBERVALUE(St_TextBetween(H263,"S","E"))</f>
        <v>Season 12</v>
      </c>
      <c r="H263" t="s">
        <v>286</v>
      </c>
    </row>
    <row r="264" spans="1:8" hidden="1" x14ac:dyDescent="0.3">
      <c r="A264" t="str" cm="1">
        <f t="array" ref="A264">"Season " &amp; _xlfn.NUMBERVALUE(St_TextBetween(B264,"S","E"))</f>
        <v>Season 12</v>
      </c>
      <c r="B264" t="s">
        <v>287</v>
      </c>
      <c r="G264" t="str" cm="1">
        <f t="array" ref="G264">"Season " &amp; _xlfn.NUMBERVALUE(St_TextBetween(H264,"S","E"))</f>
        <v>Season 12</v>
      </c>
      <c r="H264" t="s">
        <v>287</v>
      </c>
    </row>
    <row r="265" spans="1:8" hidden="1" x14ac:dyDescent="0.3">
      <c r="A265" t="str" cm="1">
        <f t="array" ref="A265">"Season " &amp; _xlfn.NUMBERVALUE(St_TextBetween(B265,"S","E"))</f>
        <v>Season 12</v>
      </c>
      <c r="B265" t="s">
        <v>288</v>
      </c>
      <c r="G265" t="str" cm="1">
        <f t="array" ref="G265">"Season " &amp; _xlfn.NUMBERVALUE(St_TextBetween(H265,"S","E"))</f>
        <v>Season 12</v>
      </c>
      <c r="H265" t="s">
        <v>288</v>
      </c>
    </row>
    <row r="266" spans="1:8" hidden="1" x14ac:dyDescent="0.3">
      <c r="A266" t="str" cm="1">
        <f t="array" ref="A266">"Season " &amp; _xlfn.NUMBERVALUE(St_TextBetween(B266,"S","E"))</f>
        <v>Season 12</v>
      </c>
      <c r="B266" t="s">
        <v>289</v>
      </c>
      <c r="G266" t="str" cm="1">
        <f t="array" ref="G266">"Season " &amp; _xlfn.NUMBERVALUE(St_TextBetween(H266,"S","E"))</f>
        <v>Season 12</v>
      </c>
      <c r="H266" t="s">
        <v>289</v>
      </c>
    </row>
    <row r="267" spans="1:8" hidden="1" x14ac:dyDescent="0.3">
      <c r="A267" t="str" cm="1">
        <f t="array" ref="A267">"Season " &amp; _xlfn.NUMBERVALUE(St_TextBetween(B267,"S","E"))</f>
        <v>Season 12</v>
      </c>
      <c r="B267" t="s">
        <v>290</v>
      </c>
      <c r="G267" t="str" cm="1">
        <f t="array" ref="G267">"Season " &amp; _xlfn.NUMBERVALUE(St_TextBetween(H267,"S","E"))</f>
        <v>Season 12</v>
      </c>
      <c r="H267" t="s">
        <v>290</v>
      </c>
    </row>
    <row r="268" spans="1:8" hidden="1" x14ac:dyDescent="0.3">
      <c r="A268" t="str" cm="1">
        <f t="array" ref="A268">"Season " &amp; _xlfn.NUMBERVALUE(St_TextBetween(B268,"S","E"))</f>
        <v>Season 12</v>
      </c>
      <c r="B268" t="s">
        <v>291</v>
      </c>
      <c r="G268" t="str" cm="1">
        <f t="array" ref="G268">"Season " &amp; _xlfn.NUMBERVALUE(St_TextBetween(H268,"S","E"))</f>
        <v>Season 12</v>
      </c>
      <c r="H268" t="s">
        <v>291</v>
      </c>
    </row>
    <row r="269" spans="1:8" hidden="1" x14ac:dyDescent="0.3">
      <c r="A269" t="str" cm="1">
        <f t="array" ref="A269">"Season " &amp; _xlfn.NUMBERVALUE(St_TextBetween(B269,"S","E"))</f>
        <v>Season 12</v>
      </c>
      <c r="B269" t="s">
        <v>292</v>
      </c>
      <c r="G269" t="str" cm="1">
        <f t="array" ref="G269">"Season " &amp; _xlfn.NUMBERVALUE(St_TextBetween(H269,"S","E"))</f>
        <v>Season 12</v>
      </c>
      <c r="H269" t="s">
        <v>292</v>
      </c>
    </row>
    <row r="270" spans="1:8" hidden="1" x14ac:dyDescent="0.3">
      <c r="A270" t="str" cm="1">
        <f t="array" ref="A270">"Season " &amp; _xlfn.NUMBERVALUE(St_TextBetween(B270,"S","E"))</f>
        <v>Season 12</v>
      </c>
      <c r="B270" t="s">
        <v>293</v>
      </c>
      <c r="G270" t="str" cm="1">
        <f t="array" ref="G270">"Season " &amp; _xlfn.NUMBERVALUE(St_TextBetween(H270,"S","E"))</f>
        <v>Season 12</v>
      </c>
      <c r="H270" t="s">
        <v>293</v>
      </c>
    </row>
    <row r="271" spans="1:8" hidden="1" x14ac:dyDescent="0.3">
      <c r="A271" t="str" cm="1">
        <f t="array" ref="A271">"Season " &amp; _xlfn.NUMBERVALUE(St_TextBetween(B271,"S","E"))</f>
        <v>Season 12</v>
      </c>
      <c r="B271" t="s">
        <v>294</v>
      </c>
      <c r="G271" t="str" cm="1">
        <f t="array" ref="G271">"Season " &amp; _xlfn.NUMBERVALUE(St_TextBetween(H271,"S","E"))</f>
        <v>Season 12</v>
      </c>
      <c r="H271" t="s">
        <v>294</v>
      </c>
    </row>
    <row r="272" spans="1:8" hidden="1" x14ac:dyDescent="0.3">
      <c r="A272" t="str" cm="1">
        <f t="array" ref="A272">"Season " &amp; _xlfn.NUMBERVALUE(St_TextBetween(B272,"S","E"))</f>
        <v>Season 12</v>
      </c>
      <c r="B272" t="s">
        <v>295</v>
      </c>
      <c r="G272" t="str" cm="1">
        <f t="array" ref="G272">"Season " &amp; _xlfn.NUMBERVALUE(St_TextBetween(H272,"S","E"))</f>
        <v>Season 12</v>
      </c>
      <c r="H272" t="s">
        <v>295</v>
      </c>
    </row>
    <row r="273" spans="1:8" hidden="1" x14ac:dyDescent="0.3">
      <c r="A273" t="str" cm="1">
        <f t="array" ref="A273">"Season " &amp; _xlfn.NUMBERVALUE(St_TextBetween(B273,"S","E"))</f>
        <v>Season 12</v>
      </c>
      <c r="B273" t="s">
        <v>296</v>
      </c>
      <c r="G273" t="str" cm="1">
        <f t="array" ref="G273">"Season " &amp; _xlfn.NUMBERVALUE(St_TextBetween(H273,"S","E"))</f>
        <v>Season 12</v>
      </c>
      <c r="H273" t="s">
        <v>296</v>
      </c>
    </row>
    <row r="274" spans="1:8" hidden="1" x14ac:dyDescent="0.3">
      <c r="A274" t="str" cm="1">
        <f t="array" ref="A274">"Season " &amp; _xlfn.NUMBERVALUE(St_TextBetween(B274,"S","E"))</f>
        <v>Season 12</v>
      </c>
      <c r="B274" t="s">
        <v>297</v>
      </c>
      <c r="G274" t="str" cm="1">
        <f t="array" ref="G274">"Season " &amp; _xlfn.NUMBERVALUE(St_TextBetween(H274,"S","E"))</f>
        <v>Season 12</v>
      </c>
      <c r="H274" t="s">
        <v>297</v>
      </c>
    </row>
    <row r="275" spans="1:8" hidden="1" x14ac:dyDescent="0.3">
      <c r="A275" t="str" cm="1">
        <f t="array" ref="A275">"Season " &amp; _xlfn.NUMBERVALUE(St_TextBetween(B275,"S","E"))</f>
        <v>Season 12</v>
      </c>
      <c r="B275" t="s">
        <v>298</v>
      </c>
      <c r="G275" t="str" cm="1">
        <f t="array" ref="G275">"Season " &amp; _xlfn.NUMBERVALUE(St_TextBetween(H275,"S","E"))</f>
        <v>Season 12</v>
      </c>
      <c r="H275" t="s">
        <v>298</v>
      </c>
    </row>
    <row r="276" spans="1:8" hidden="1" x14ac:dyDescent="0.3">
      <c r="A276" t="str" cm="1">
        <f t="array" ref="A276">"Season " &amp; _xlfn.NUMBERVALUE(St_TextBetween(B276,"S","E"))</f>
        <v>Season 12</v>
      </c>
      <c r="B276" t="s">
        <v>299</v>
      </c>
      <c r="G276" t="str" cm="1">
        <f t="array" ref="G276">"Season " &amp; _xlfn.NUMBERVALUE(St_TextBetween(H276,"S","E"))</f>
        <v>Season 12</v>
      </c>
      <c r="H276" t="s">
        <v>299</v>
      </c>
    </row>
    <row r="277" spans="1:8" hidden="1" x14ac:dyDescent="0.3">
      <c r="A277" t="str" cm="1">
        <f t="array" ref="A277">"Season " &amp; _xlfn.NUMBERVALUE(St_TextBetween(B277,"S","E"))</f>
        <v>Season 12</v>
      </c>
      <c r="B277" t="s">
        <v>300</v>
      </c>
      <c r="G277" t="str" cm="1">
        <f t="array" ref="G277">"Season " &amp; _xlfn.NUMBERVALUE(St_TextBetween(H277,"S","E"))</f>
        <v>Season 12</v>
      </c>
      <c r="H277" t="s">
        <v>300</v>
      </c>
    </row>
    <row r="278" spans="1:8" hidden="1" x14ac:dyDescent="0.3">
      <c r="A278" t="str" cm="1">
        <f t="array" ref="A278">"Season " &amp; _xlfn.NUMBERVALUE(St_TextBetween(B278,"S","E"))</f>
        <v>Season 12</v>
      </c>
      <c r="B278" t="s">
        <v>301</v>
      </c>
      <c r="G278" t="str" cm="1">
        <f t="array" ref="G278">"Season " &amp; _xlfn.NUMBERVALUE(St_TextBetween(H278,"S","E"))</f>
        <v>Season 12</v>
      </c>
      <c r="H278" t="s">
        <v>301</v>
      </c>
    </row>
    <row r="279" spans="1:8" hidden="1" x14ac:dyDescent="0.3">
      <c r="A279" t="str" cm="1">
        <f t="array" ref="A279">"Season " &amp; _xlfn.NUMBERVALUE(St_TextBetween(B279,"S","E"))</f>
        <v>Season 12</v>
      </c>
      <c r="B279" t="s">
        <v>302</v>
      </c>
      <c r="G279" t="str" cm="1">
        <f t="array" ref="G279">"Season " &amp; _xlfn.NUMBERVALUE(St_TextBetween(H279,"S","E"))</f>
        <v>Season 12</v>
      </c>
      <c r="H279" t="s">
        <v>302</v>
      </c>
    </row>
    <row r="280" spans="1:8" hidden="1" x14ac:dyDescent="0.3">
      <c r="A280" t="str" cm="1">
        <f t="array" ref="A280">"Season " &amp; _xlfn.NUMBERVALUE(St_TextBetween(B280,"S","E"))</f>
        <v>Season 12</v>
      </c>
      <c r="B280" t="s">
        <v>303</v>
      </c>
      <c r="G280" t="str" cm="1">
        <f t="array" ref="G280">"Season " &amp; _xlfn.NUMBERVALUE(St_TextBetween(H280,"S","E"))</f>
        <v>Season 12</v>
      </c>
      <c r="H280" t="s">
        <v>303</v>
      </c>
    </row>
    <row r="281" spans="1:8" hidden="1" x14ac:dyDescent="0.3">
      <c r="A281" t="str" cm="1">
        <f t="array" ref="A281">"Season " &amp; _xlfn.NUMBERVALUE(St_TextBetween(B281,"S","E"))</f>
        <v>Season 12</v>
      </c>
      <c r="B281" t="s">
        <v>304</v>
      </c>
      <c r="G281" t="str" cm="1">
        <f t="array" ref="G281">"Season " &amp; _xlfn.NUMBERVALUE(St_TextBetween(H281,"S","E"))</f>
        <v>Season 12</v>
      </c>
      <c r="H281" t="s">
        <v>304</v>
      </c>
    </row>
  </sheetData>
  <phoneticPr fontId="5" type="noConversion"/>
  <conditionalFormatting sqref="C90:C118">
    <cfRule type="cellIs" dxfId="30" priority="33" operator="equal">
      <formula>"passed"</formula>
    </cfRule>
  </conditionalFormatting>
  <conditionalFormatting sqref="C138:C139">
    <cfRule type="cellIs" dxfId="29" priority="32" operator="equal">
      <formula>"passed"</formula>
    </cfRule>
  </conditionalFormatting>
  <conditionalFormatting sqref="C142:D142">
    <cfRule type="cellIs" dxfId="28" priority="31" operator="equal">
      <formula>"passed"</formula>
    </cfRule>
  </conditionalFormatting>
  <conditionalFormatting sqref="C143:C146">
    <cfRule type="cellIs" dxfId="27" priority="30" operator="equal">
      <formula>"passed"</formula>
    </cfRule>
  </conditionalFormatting>
  <conditionalFormatting sqref="C1:C129 C130:D135 C136:C1048576">
    <cfRule type="cellIs" dxfId="26" priority="29" operator="equal">
      <formula>"passed"</formula>
    </cfRule>
  </conditionalFormatting>
  <conditionalFormatting sqref="D90:D116 D118">
    <cfRule type="cellIs" dxfId="25" priority="28" operator="equal">
      <formula>"passed"</formula>
    </cfRule>
  </conditionalFormatting>
  <conditionalFormatting sqref="D138:D139">
    <cfRule type="cellIs" dxfId="24" priority="27" operator="equal">
      <formula>"passed"</formula>
    </cfRule>
  </conditionalFormatting>
  <conditionalFormatting sqref="D143:D146">
    <cfRule type="cellIs" dxfId="23" priority="26" operator="equal">
      <formula>"passed"</formula>
    </cfRule>
  </conditionalFormatting>
  <conditionalFormatting sqref="D2:D43 D45:D129 D136:D1048576">
    <cfRule type="cellIs" dxfId="22" priority="25" operator="equal">
      <formula>"passed"</formula>
    </cfRule>
  </conditionalFormatting>
  <conditionalFormatting sqref="D44">
    <cfRule type="cellIs" dxfId="21" priority="24" operator="equal">
      <formula>"passed"</formula>
    </cfRule>
  </conditionalFormatting>
  <conditionalFormatting sqref="C127:C129 C136:C137 C130:D135">
    <cfRule type="cellIs" dxfId="20" priority="21" operator="equal">
      <formula>"passed"</formula>
    </cfRule>
  </conditionalFormatting>
  <conditionalFormatting sqref="I90:I118">
    <cfRule type="cellIs" dxfId="19" priority="20" operator="equal">
      <formula>"passed"</formula>
    </cfRule>
  </conditionalFormatting>
  <conditionalFormatting sqref="I138:I139">
    <cfRule type="cellIs" dxfId="18" priority="19" operator="equal">
      <formula>"passed"</formula>
    </cfRule>
  </conditionalFormatting>
  <conditionalFormatting sqref="I142:J142">
    <cfRule type="cellIs" dxfId="17" priority="18" operator="equal">
      <formula>"passed"</formula>
    </cfRule>
  </conditionalFormatting>
  <conditionalFormatting sqref="I143:I145">
    <cfRule type="cellIs" dxfId="16" priority="17" operator="equal">
      <formula>"passed"</formula>
    </cfRule>
  </conditionalFormatting>
  <conditionalFormatting sqref="I1:I145 I147:I1048576">
    <cfRule type="cellIs" dxfId="15" priority="16" operator="equal">
      <formula>"passed"</formula>
    </cfRule>
  </conditionalFormatting>
  <conditionalFormatting sqref="J90:J116 J118">
    <cfRule type="cellIs" dxfId="14" priority="15" operator="equal">
      <formula>"passed"</formula>
    </cfRule>
  </conditionalFormatting>
  <conditionalFormatting sqref="J138:J139">
    <cfRule type="cellIs" dxfId="13" priority="14" operator="equal">
      <formula>"passed"</formula>
    </cfRule>
  </conditionalFormatting>
  <conditionalFormatting sqref="J143:J145">
    <cfRule type="cellIs" dxfId="12" priority="13" operator="equal">
      <formula>"passed"</formula>
    </cfRule>
  </conditionalFormatting>
  <conditionalFormatting sqref="J2:J43 J45:J145 J147:J1048576">
    <cfRule type="cellIs" dxfId="11" priority="12" operator="equal">
      <formula>"passed"</formula>
    </cfRule>
  </conditionalFormatting>
  <conditionalFormatting sqref="J44">
    <cfRule type="cellIs" dxfId="10" priority="11" operator="equal">
      <formula>"passed"</formula>
    </cfRule>
  </conditionalFormatting>
  <conditionalFormatting sqref="I127:I137">
    <cfRule type="cellIs" dxfId="9" priority="10" operator="equal">
      <formula>"passed"</formula>
    </cfRule>
  </conditionalFormatting>
  <conditionalFormatting sqref="I146">
    <cfRule type="cellIs" dxfId="8" priority="9" operator="equal">
      <formula>"passed"</formula>
    </cfRule>
  </conditionalFormatting>
  <conditionalFormatting sqref="I146">
    <cfRule type="cellIs" dxfId="7" priority="8" operator="equal">
      <formula>"passed"</formula>
    </cfRule>
  </conditionalFormatting>
  <conditionalFormatting sqref="J146">
    <cfRule type="cellIs" dxfId="6" priority="7" operator="equal">
      <formula>"passed"</formula>
    </cfRule>
  </conditionalFormatting>
  <conditionalFormatting sqref="J146">
    <cfRule type="cellIs" dxfId="5" priority="6" operator="equal">
      <formula>"passed"</formula>
    </cfRule>
  </conditionalFormatting>
  <conditionalFormatting sqref="C148">
    <cfRule type="cellIs" dxfId="4" priority="5" operator="equal">
      <formula>"passed"</formula>
    </cfRule>
  </conditionalFormatting>
  <conditionalFormatting sqref="D148">
    <cfRule type="cellIs" dxfId="3" priority="4" operator="equal">
      <formula>"passed"</formula>
    </cfRule>
  </conditionalFormatting>
  <conditionalFormatting sqref="C150">
    <cfRule type="cellIs" dxfId="2" priority="3" operator="equal">
      <formula>"passed"</formula>
    </cfRule>
  </conditionalFormatting>
  <conditionalFormatting sqref="C151">
    <cfRule type="cellIs" dxfId="1" priority="2" operator="equal">
      <formula>"passed"</formula>
    </cfRule>
  </conditionalFormatting>
  <conditionalFormatting sqref="C152:C161">
    <cfRule type="cellIs" dxfId="0" priority="1" operator="equal">
      <formula>"passed"</formula>
    </cfRule>
  </conditionalFormatting>
  <dataValidations count="1">
    <dataValidation type="list" allowBlank="1" showInputMessage="1" showErrorMessage="1" sqref="D2:D43 J45:J1048576 J2:J43 D45:D129 D136:D1048576" xr:uid="{DE61D29C-B900-4BAB-BC7B-E7D0E691D1DB}">
      <formula1>$S$3:$S$17</formula1>
    </dataValidation>
  </dataValidations>
  <pageMargins left="0.7" right="0.7" top="0.75" bottom="0.75" header="0.3" footer="0.3"/>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2CE04-CA19-4BAF-B63F-8C6831E6A8DD}">
  <sheetPr codeName="Sheet1"/>
  <dimension ref="C16:T50"/>
  <sheetViews>
    <sheetView topLeftCell="A13" workbookViewId="0">
      <selection activeCell="R33" sqref="R33"/>
    </sheetView>
  </sheetViews>
  <sheetFormatPr defaultRowHeight="14.4" x14ac:dyDescent="0.3"/>
  <cols>
    <col min="18" max="18" width="18" customWidth="1"/>
    <col min="19" max="19" width="20.21875" customWidth="1"/>
  </cols>
  <sheetData>
    <row r="16" spans="4:20" x14ac:dyDescent="0.3">
      <c r="D16" s="1" t="s">
        <v>335</v>
      </c>
      <c r="E16" s="1"/>
      <c r="F16" s="1"/>
      <c r="R16" s="1" t="s">
        <v>336</v>
      </c>
      <c r="S16" s="1"/>
      <c r="T16" s="1"/>
    </row>
    <row r="17" spans="3:19" x14ac:dyDescent="0.3">
      <c r="C17">
        <v>0</v>
      </c>
      <c r="D17" t="s">
        <v>315</v>
      </c>
      <c r="Q17">
        <v>0</v>
      </c>
      <c r="R17" t="s">
        <v>315</v>
      </c>
    </row>
    <row r="18" spans="3:19" x14ac:dyDescent="0.3">
      <c r="C18">
        <v>1</v>
      </c>
      <c r="D18" s="24" t="s">
        <v>328</v>
      </c>
      <c r="Q18">
        <v>1</v>
      </c>
      <c r="R18" s="24" t="s">
        <v>328</v>
      </c>
      <c r="S18" t="s">
        <v>330</v>
      </c>
    </row>
    <row r="19" spans="3:19" x14ac:dyDescent="0.3">
      <c r="C19">
        <v>2</v>
      </c>
      <c r="D19" t="s">
        <v>316</v>
      </c>
      <c r="Q19">
        <v>2</v>
      </c>
      <c r="R19" s="24" t="s">
        <v>328</v>
      </c>
      <c r="S19" t="s">
        <v>331</v>
      </c>
    </row>
    <row r="20" spans="3:19" x14ac:dyDescent="0.3">
      <c r="C20">
        <v>3</v>
      </c>
      <c r="D20" s="24" t="s">
        <v>328</v>
      </c>
      <c r="Q20">
        <v>3</v>
      </c>
      <c r="R20" s="24" t="s">
        <v>328</v>
      </c>
      <c r="S20" t="s">
        <v>332</v>
      </c>
    </row>
    <row r="21" spans="3:19" x14ac:dyDescent="0.3">
      <c r="C21">
        <v>4</v>
      </c>
      <c r="D21" t="s">
        <v>317</v>
      </c>
      <c r="Q21">
        <v>4</v>
      </c>
    </row>
    <row r="22" spans="3:19" x14ac:dyDescent="0.3">
      <c r="C22">
        <v>5</v>
      </c>
      <c r="D22" s="24" t="s">
        <v>328</v>
      </c>
      <c r="Q22">
        <v>5</v>
      </c>
      <c r="R22" s="27" t="s">
        <v>329</v>
      </c>
      <c r="S22" s="26" t="s">
        <v>319</v>
      </c>
    </row>
    <row r="23" spans="3:19" x14ac:dyDescent="0.3">
      <c r="C23">
        <v>6</v>
      </c>
      <c r="D23" t="s">
        <v>318</v>
      </c>
      <c r="Q23">
        <v>6</v>
      </c>
      <c r="R23" s="27" t="s">
        <v>329</v>
      </c>
      <c r="S23" s="26" t="s">
        <v>320</v>
      </c>
    </row>
    <row r="24" spans="3:19" s="26" customFormat="1" x14ac:dyDescent="0.3">
      <c r="C24" s="26">
        <v>7</v>
      </c>
      <c r="D24" s="27" t="s">
        <v>329</v>
      </c>
      <c r="Q24" s="26">
        <v>7</v>
      </c>
      <c r="R24" s="25" t="s">
        <v>333</v>
      </c>
      <c r="S24" t="s">
        <v>322</v>
      </c>
    </row>
    <row r="25" spans="3:19" s="26" customFormat="1" x14ac:dyDescent="0.3">
      <c r="C25" s="26">
        <v>8</v>
      </c>
      <c r="D25" s="26">
        <v>0</v>
      </c>
      <c r="Q25" s="26">
        <v>8</v>
      </c>
      <c r="R25" s="25" t="s">
        <v>333</v>
      </c>
      <c r="S25" t="s">
        <v>323</v>
      </c>
    </row>
    <row r="26" spans="3:19" s="26" customFormat="1" x14ac:dyDescent="0.3">
      <c r="C26" s="26">
        <v>9</v>
      </c>
      <c r="D26" s="27" t="s">
        <v>329</v>
      </c>
      <c r="Q26" s="26">
        <v>9</v>
      </c>
      <c r="R26" s="26" t="s">
        <v>324</v>
      </c>
      <c r="S26" s="26" t="s">
        <v>322</v>
      </c>
    </row>
    <row r="27" spans="3:19" s="26" customFormat="1" x14ac:dyDescent="0.3">
      <c r="C27" s="26">
        <v>10</v>
      </c>
      <c r="D27" s="26" t="s">
        <v>319</v>
      </c>
      <c r="Q27" s="26">
        <v>10</v>
      </c>
      <c r="R27" s="26" t="s">
        <v>324</v>
      </c>
      <c r="S27" s="26" t="s">
        <v>323</v>
      </c>
    </row>
    <row r="28" spans="3:19" s="26" customFormat="1" x14ac:dyDescent="0.3">
      <c r="C28" s="26">
        <v>11</v>
      </c>
      <c r="D28" s="27" t="s">
        <v>329</v>
      </c>
      <c r="Q28" s="26">
        <v>11</v>
      </c>
      <c r="R28" s="26" t="s">
        <v>325</v>
      </c>
      <c r="S28" s="26" t="s">
        <v>326</v>
      </c>
    </row>
    <row r="29" spans="3:19" s="26" customFormat="1" x14ac:dyDescent="0.3">
      <c r="C29" s="26">
        <v>12</v>
      </c>
      <c r="D29" s="26" t="s">
        <v>320</v>
      </c>
      <c r="Q29" s="26">
        <v>12</v>
      </c>
    </row>
    <row r="30" spans="3:19" s="25" customFormat="1" x14ac:dyDescent="0.3">
      <c r="C30" s="25">
        <v>13</v>
      </c>
      <c r="D30" s="25" t="s">
        <v>321</v>
      </c>
      <c r="Q30" s="25">
        <v>13</v>
      </c>
    </row>
    <row r="31" spans="3:19" x14ac:dyDescent="0.3">
      <c r="C31">
        <v>14</v>
      </c>
      <c r="D31" t="s">
        <v>322</v>
      </c>
      <c r="Q31">
        <v>14</v>
      </c>
    </row>
    <row r="32" spans="3:19" s="25" customFormat="1" x14ac:dyDescent="0.3">
      <c r="C32" s="25">
        <v>15</v>
      </c>
      <c r="D32" s="25" t="s">
        <v>321</v>
      </c>
      <c r="Q32" s="25">
        <v>15</v>
      </c>
    </row>
    <row r="33" spans="3:18" x14ac:dyDescent="0.3">
      <c r="C33">
        <v>16</v>
      </c>
      <c r="D33" t="s">
        <v>323</v>
      </c>
      <c r="Q33">
        <v>16</v>
      </c>
      <c r="R33" t="s">
        <v>334</v>
      </c>
    </row>
    <row r="34" spans="3:18" s="26" customFormat="1" x14ac:dyDescent="0.3">
      <c r="C34" s="26">
        <v>17</v>
      </c>
      <c r="D34" s="26" t="s">
        <v>324</v>
      </c>
      <c r="Q34" s="26">
        <v>17</v>
      </c>
    </row>
    <row r="35" spans="3:18" s="26" customFormat="1" x14ac:dyDescent="0.3">
      <c r="C35" s="26">
        <v>18</v>
      </c>
      <c r="D35" s="26" t="s">
        <v>322</v>
      </c>
      <c r="Q35" s="26">
        <v>18</v>
      </c>
    </row>
    <row r="36" spans="3:18" s="26" customFormat="1" x14ac:dyDescent="0.3">
      <c r="C36" s="26">
        <v>19</v>
      </c>
      <c r="D36" s="26" t="s">
        <v>324</v>
      </c>
      <c r="Q36" s="26">
        <v>19</v>
      </c>
    </row>
    <row r="37" spans="3:18" s="26" customFormat="1" x14ac:dyDescent="0.3">
      <c r="C37" s="26">
        <v>20</v>
      </c>
      <c r="D37" s="26" t="s">
        <v>323</v>
      </c>
      <c r="Q37" s="26">
        <v>20</v>
      </c>
    </row>
    <row r="38" spans="3:18" s="26" customFormat="1" x14ac:dyDescent="0.3">
      <c r="C38" s="26">
        <v>21</v>
      </c>
      <c r="D38" s="26" t="s">
        <v>325</v>
      </c>
      <c r="Q38" s="26">
        <v>21</v>
      </c>
    </row>
    <row r="39" spans="3:18" s="26" customFormat="1" x14ac:dyDescent="0.3">
      <c r="C39" s="26">
        <v>22</v>
      </c>
      <c r="D39" s="26" t="s">
        <v>326</v>
      </c>
      <c r="Q39" s="26">
        <v>22</v>
      </c>
    </row>
    <row r="40" spans="3:18" x14ac:dyDescent="0.3">
      <c r="C40">
        <v>23</v>
      </c>
      <c r="D40" t="s">
        <v>327</v>
      </c>
      <c r="Q40">
        <v>23</v>
      </c>
    </row>
    <row r="50" spans="5:5" x14ac:dyDescent="0.3">
      <c r="E50" t="s">
        <v>337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48B24-8E03-45D8-83AD-A72EB8B11872}">
  <dimension ref="A1"/>
  <sheetViews>
    <sheetView tabSelected="1" workbookViewId="0">
      <selection activeCell="K9" sqref="K9"/>
    </sheetView>
  </sheetViews>
  <sheetFormatPr defaultRowHeight="14.4" x14ac:dyDescent="0.3"/>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3F4C-AB87-4C2A-B6EE-3573023F00C1}">
  <sheetPr filterMode="1"/>
  <dimension ref="A1:O420"/>
  <sheetViews>
    <sheetView workbookViewId="0">
      <selection activeCell="E2" sqref="E2:F2"/>
    </sheetView>
  </sheetViews>
  <sheetFormatPr defaultRowHeight="14.4" x14ac:dyDescent="0.3"/>
  <cols>
    <col min="2" max="2" width="46.77734375" style="23" customWidth="1"/>
    <col min="6" max="6" width="19.5546875" bestFit="1" customWidth="1"/>
    <col min="12" max="12" width="55.21875" style="23" customWidth="1"/>
  </cols>
  <sheetData>
    <row r="1" spans="1:15" x14ac:dyDescent="0.3">
      <c r="B1" s="31" t="s">
        <v>760</v>
      </c>
      <c r="L1" s="31" t="s">
        <v>808</v>
      </c>
    </row>
    <row r="2" spans="1:15" x14ac:dyDescent="0.3">
      <c r="B2" s="23" t="s">
        <v>347</v>
      </c>
      <c r="C2" t="s">
        <v>348</v>
      </c>
      <c r="D2" t="s">
        <v>349</v>
      </c>
      <c r="E2" t="s">
        <v>809</v>
      </c>
      <c r="F2" t="s">
        <v>810</v>
      </c>
      <c r="L2" s="23" t="s">
        <v>347</v>
      </c>
      <c r="M2" t="s">
        <v>348</v>
      </c>
      <c r="N2" t="s">
        <v>349</v>
      </c>
      <c r="O2" t="s">
        <v>810</v>
      </c>
    </row>
    <row r="3" spans="1:15" hidden="1" x14ac:dyDescent="0.3">
      <c r="A3">
        <v>0</v>
      </c>
      <c r="B3" t="s">
        <v>350</v>
      </c>
      <c r="C3" s="29">
        <v>2.4189814814814816E-6</v>
      </c>
      <c r="D3" s="29">
        <v>3.4282407407407406E-5</v>
      </c>
      <c r="E3" t="b">
        <f>B3=L3</f>
        <v>1</v>
      </c>
      <c r="K3">
        <v>0</v>
      </c>
      <c r="L3" t="s">
        <v>350</v>
      </c>
      <c r="M3" s="29">
        <v>1.9212962962962962E-6</v>
      </c>
      <c r="N3" s="29">
        <v>3.2824074074074073E-5</v>
      </c>
    </row>
    <row r="4" spans="1:15" hidden="1" x14ac:dyDescent="0.3">
      <c r="A4">
        <v>1</v>
      </c>
      <c r="B4" t="s">
        <v>351</v>
      </c>
      <c r="C4" s="29">
        <v>3.4756944444444448E-5</v>
      </c>
      <c r="D4" s="29">
        <v>5.0208333333333332E-5</v>
      </c>
      <c r="E4" t="b">
        <f t="shared" ref="E4:E67" si="0">B4=L4</f>
        <v>1</v>
      </c>
      <c r="K4">
        <v>1</v>
      </c>
      <c r="L4" t="s">
        <v>351</v>
      </c>
      <c r="M4" s="29">
        <v>3.4745370370370366E-5</v>
      </c>
      <c r="N4" s="29">
        <v>4.8749999999999999E-5</v>
      </c>
    </row>
    <row r="5" spans="1:15" hidden="1" x14ac:dyDescent="0.3">
      <c r="A5">
        <v>2</v>
      </c>
      <c r="B5" t="s">
        <v>352</v>
      </c>
      <c r="C5" s="29">
        <v>5.0694444444444443E-5</v>
      </c>
      <c r="D5" s="29">
        <v>7.9178240740740744E-5</v>
      </c>
      <c r="E5" t="b">
        <f t="shared" si="0"/>
        <v>1</v>
      </c>
      <c r="K5">
        <v>2</v>
      </c>
      <c r="L5" t="s">
        <v>352</v>
      </c>
      <c r="M5" s="29">
        <v>5.0682870370370367E-5</v>
      </c>
      <c r="N5" s="29">
        <v>7.7719907407407411E-5</v>
      </c>
    </row>
    <row r="6" spans="1:15" hidden="1" x14ac:dyDescent="0.3">
      <c r="A6">
        <v>3</v>
      </c>
      <c r="B6" t="s">
        <v>353</v>
      </c>
      <c r="C6" s="29">
        <v>7.9652777777777773E-5</v>
      </c>
      <c r="D6" s="29">
        <v>1.2552083333333333E-4</v>
      </c>
      <c r="E6" t="b">
        <f t="shared" si="0"/>
        <v>1</v>
      </c>
      <c r="K6">
        <v>3</v>
      </c>
      <c r="L6" t="s">
        <v>353</v>
      </c>
      <c r="M6" s="29">
        <v>7.9641203703703704E-5</v>
      </c>
      <c r="N6" s="29">
        <v>1.2406249999999999E-4</v>
      </c>
    </row>
    <row r="7" spans="1:15" hidden="1" x14ac:dyDescent="0.3">
      <c r="A7">
        <v>4</v>
      </c>
      <c r="B7" t="s">
        <v>354</v>
      </c>
      <c r="C7" s="29">
        <v>1.2599537037037036E-4</v>
      </c>
      <c r="D7" s="29">
        <v>1.5496527777777777E-4</v>
      </c>
      <c r="E7" t="b">
        <f t="shared" si="0"/>
        <v>1</v>
      </c>
      <c r="K7">
        <v>4</v>
      </c>
      <c r="L7" t="s">
        <v>354</v>
      </c>
      <c r="M7" s="29">
        <v>1.2598379629629629E-4</v>
      </c>
      <c r="N7" s="29">
        <v>1.5350694444444445E-4</v>
      </c>
    </row>
    <row r="8" spans="1:15" hidden="1" x14ac:dyDescent="0.3">
      <c r="A8">
        <v>5</v>
      </c>
      <c r="B8" t="s">
        <v>355</v>
      </c>
      <c r="C8" s="29">
        <v>1.5545138888888889E-4</v>
      </c>
      <c r="D8" s="29">
        <v>1.7041666666666667E-4</v>
      </c>
      <c r="E8" t="b">
        <f t="shared" si="0"/>
        <v>1</v>
      </c>
      <c r="K8">
        <v>5</v>
      </c>
      <c r="L8" t="s">
        <v>355</v>
      </c>
      <c r="M8" s="29">
        <v>1.5543981481481482E-4</v>
      </c>
      <c r="N8" s="29">
        <v>1.6847222222222223E-4</v>
      </c>
    </row>
    <row r="9" spans="1:15" hidden="1" x14ac:dyDescent="0.3">
      <c r="A9">
        <v>6</v>
      </c>
      <c r="B9" t="s">
        <v>356</v>
      </c>
      <c r="C9" s="29">
        <v>1.708912037037037E-4</v>
      </c>
      <c r="D9" s="29">
        <v>2.0468749999999998E-4</v>
      </c>
      <c r="E9" t="b">
        <f t="shared" si="0"/>
        <v>1</v>
      </c>
      <c r="K9">
        <v>6</v>
      </c>
      <c r="L9" t="s">
        <v>356</v>
      </c>
      <c r="M9" s="29">
        <v>1.7087962962962963E-4</v>
      </c>
      <c r="N9" s="29">
        <v>2.0467592592592594E-4</v>
      </c>
    </row>
    <row r="10" spans="1:15" hidden="1" x14ac:dyDescent="0.3">
      <c r="A10">
        <v>7</v>
      </c>
      <c r="B10" t="s">
        <v>357</v>
      </c>
      <c r="C10" s="29">
        <v>2.6984953703703703E-4</v>
      </c>
      <c r="D10" s="29">
        <v>2.9978009259259259E-4</v>
      </c>
      <c r="E10" t="b">
        <f t="shared" si="0"/>
        <v>1</v>
      </c>
      <c r="K10">
        <v>7</v>
      </c>
      <c r="L10" t="s">
        <v>357</v>
      </c>
      <c r="M10" s="29">
        <v>2.6936342592592593E-4</v>
      </c>
      <c r="N10" s="29">
        <v>2.9929398148148149E-4</v>
      </c>
    </row>
    <row r="11" spans="1:15" hidden="1" x14ac:dyDescent="0.3">
      <c r="A11">
        <v>8</v>
      </c>
      <c r="B11" t="s">
        <v>358</v>
      </c>
      <c r="C11" s="29">
        <v>3.3840277777777775E-4</v>
      </c>
      <c r="D11" s="29">
        <v>3.7605324074074076E-4</v>
      </c>
      <c r="E11" t="b">
        <f t="shared" si="0"/>
        <v>1</v>
      </c>
      <c r="K11">
        <v>8</v>
      </c>
      <c r="L11" t="s">
        <v>358</v>
      </c>
      <c r="M11" s="29">
        <v>3.3790509259259261E-4</v>
      </c>
      <c r="N11" s="29">
        <v>3.7410879629629632E-4</v>
      </c>
    </row>
    <row r="12" spans="1:15" x14ac:dyDescent="0.3">
      <c r="A12">
        <v>9</v>
      </c>
      <c r="B12" s="23" t="s">
        <v>359</v>
      </c>
      <c r="C12" s="29">
        <v>3.7653935185185186E-4</v>
      </c>
      <c r="D12" s="29">
        <v>4.0695601851851852E-4</v>
      </c>
      <c r="E12" t="b">
        <f>B12=L12</f>
        <v>0</v>
      </c>
      <c r="K12">
        <v>9</v>
      </c>
      <c r="L12" s="23" t="s">
        <v>761</v>
      </c>
      <c r="M12" s="29">
        <v>3.7604166666666667E-4</v>
      </c>
      <c r="N12" s="29">
        <v>4.0501157407407407E-4</v>
      </c>
    </row>
    <row r="13" spans="1:15" hidden="1" x14ac:dyDescent="0.3">
      <c r="A13">
        <v>10</v>
      </c>
      <c r="B13" t="s">
        <v>360</v>
      </c>
      <c r="C13" s="29">
        <v>4.0743055555555552E-4</v>
      </c>
      <c r="D13" s="29">
        <v>4.2046296296296298E-4</v>
      </c>
      <c r="E13" t="b">
        <f t="shared" si="0"/>
        <v>1</v>
      </c>
      <c r="K13">
        <v>10</v>
      </c>
      <c r="L13" t="s">
        <v>360</v>
      </c>
      <c r="M13" s="29">
        <v>4.0694444444444442E-4</v>
      </c>
      <c r="N13" s="29">
        <v>4.1853009259259263E-4</v>
      </c>
    </row>
    <row r="14" spans="1:15" hidden="1" x14ac:dyDescent="0.3">
      <c r="A14">
        <v>11</v>
      </c>
      <c r="B14" t="s">
        <v>361</v>
      </c>
      <c r="C14" s="29">
        <v>4.2094907407407402E-4</v>
      </c>
      <c r="D14" s="29">
        <v>4.4363425925925923E-4</v>
      </c>
      <c r="E14" t="b">
        <f t="shared" si="0"/>
        <v>1</v>
      </c>
      <c r="K14">
        <v>11</v>
      </c>
      <c r="L14" t="s">
        <v>361</v>
      </c>
      <c r="M14" s="29">
        <v>4.2045138888888888E-4</v>
      </c>
      <c r="N14" s="29">
        <v>4.4170138888888883E-4</v>
      </c>
    </row>
    <row r="15" spans="1:15" hidden="1" x14ac:dyDescent="0.3">
      <c r="A15">
        <v>12</v>
      </c>
      <c r="B15" t="s">
        <v>362</v>
      </c>
      <c r="C15" s="29">
        <v>4.4412037037037038E-4</v>
      </c>
      <c r="D15" s="29">
        <v>4.7694444444444444E-4</v>
      </c>
      <c r="E15" t="b">
        <f t="shared" si="0"/>
        <v>1</v>
      </c>
      <c r="K15">
        <v>12</v>
      </c>
      <c r="L15" t="s">
        <v>362</v>
      </c>
      <c r="M15" s="29">
        <v>4.4362268518518519E-4</v>
      </c>
      <c r="N15" s="29">
        <v>4.7645833333333329E-4</v>
      </c>
    </row>
    <row r="16" spans="1:15" hidden="1" x14ac:dyDescent="0.3">
      <c r="A16">
        <v>13</v>
      </c>
      <c r="B16" t="s">
        <v>363</v>
      </c>
      <c r="C16" s="29">
        <v>4.9432870370370375E-4</v>
      </c>
      <c r="D16" s="29">
        <v>5.4067129629629626E-4</v>
      </c>
      <c r="E16" t="b">
        <f t="shared" si="0"/>
        <v>1</v>
      </c>
      <c r="K16">
        <v>13</v>
      </c>
      <c r="L16" t="s">
        <v>363</v>
      </c>
      <c r="M16" s="29">
        <v>4.9383101851851856E-4</v>
      </c>
      <c r="N16" s="29">
        <v>5.4017361111111106E-4</v>
      </c>
    </row>
    <row r="17" spans="1:14" hidden="1" x14ac:dyDescent="0.3">
      <c r="A17">
        <v>14</v>
      </c>
      <c r="B17" t="s">
        <v>364</v>
      </c>
      <c r="C17" s="29">
        <v>5.4839120370370371E-4</v>
      </c>
      <c r="D17" s="29">
        <v>5.6625000000000002E-4</v>
      </c>
      <c r="E17" t="b">
        <f t="shared" si="0"/>
        <v>1</v>
      </c>
      <c r="K17">
        <v>14</v>
      </c>
      <c r="L17" t="s">
        <v>364</v>
      </c>
      <c r="M17" s="29">
        <v>5.4789351851851852E-4</v>
      </c>
      <c r="N17" s="29">
        <v>5.6576388888888887E-4</v>
      </c>
    </row>
    <row r="18" spans="1:14" hidden="1" x14ac:dyDescent="0.3">
      <c r="A18">
        <v>15</v>
      </c>
      <c r="B18" t="s">
        <v>365</v>
      </c>
      <c r="C18" s="29">
        <v>5.7736111111111107E-4</v>
      </c>
      <c r="D18" s="29">
        <v>5.9280092592592598E-4</v>
      </c>
      <c r="E18" t="b">
        <f t="shared" si="0"/>
        <v>1</v>
      </c>
      <c r="K18">
        <v>15</v>
      </c>
      <c r="L18" t="s">
        <v>365</v>
      </c>
      <c r="M18" s="29">
        <v>5.7686342592592598E-4</v>
      </c>
      <c r="N18" s="29">
        <v>5.9231481481481483E-4</v>
      </c>
    </row>
    <row r="19" spans="1:14" hidden="1" x14ac:dyDescent="0.3">
      <c r="A19">
        <v>16</v>
      </c>
      <c r="B19" t="s">
        <v>366</v>
      </c>
      <c r="C19" s="29">
        <v>6.1983796296296299E-4</v>
      </c>
      <c r="D19" s="29">
        <v>6.7390046296296295E-4</v>
      </c>
      <c r="E19" t="b">
        <f t="shared" si="0"/>
        <v>1</v>
      </c>
      <c r="K19">
        <v>16</v>
      </c>
      <c r="L19" t="s">
        <v>366</v>
      </c>
      <c r="M19" s="29">
        <v>6.1934027777777779E-4</v>
      </c>
      <c r="N19" s="29">
        <v>6.734143518518518E-4</v>
      </c>
    </row>
    <row r="20" spans="1:14" hidden="1" x14ac:dyDescent="0.3">
      <c r="A20">
        <v>17</v>
      </c>
      <c r="B20" t="s">
        <v>367</v>
      </c>
      <c r="C20" s="29">
        <v>6.8452546296296295E-4</v>
      </c>
      <c r="D20" s="29">
        <v>7.1831018518518511E-4</v>
      </c>
      <c r="E20" t="b">
        <f t="shared" si="0"/>
        <v>1</v>
      </c>
      <c r="K20">
        <v>17</v>
      </c>
      <c r="L20" t="s">
        <v>367</v>
      </c>
      <c r="M20" s="29">
        <v>6.8402777777777776E-4</v>
      </c>
      <c r="N20" s="29">
        <v>7.1782407407407407E-4</v>
      </c>
    </row>
    <row r="21" spans="1:14" hidden="1" x14ac:dyDescent="0.3">
      <c r="A21">
        <v>18</v>
      </c>
      <c r="B21" t="s">
        <v>368</v>
      </c>
      <c r="C21" s="29">
        <v>7.2989583333333337E-4</v>
      </c>
      <c r="D21" s="29">
        <v>7.5500000000000003E-4</v>
      </c>
      <c r="E21" t="b">
        <f t="shared" si="0"/>
        <v>1</v>
      </c>
      <c r="K21">
        <v>18</v>
      </c>
      <c r="L21" t="s">
        <v>368</v>
      </c>
      <c r="M21" s="29">
        <v>7.2940972222222222E-4</v>
      </c>
      <c r="N21" s="29">
        <v>7.5451388888888888E-4</v>
      </c>
    </row>
    <row r="22" spans="1:14" hidden="1" x14ac:dyDescent="0.3">
      <c r="A22">
        <v>19</v>
      </c>
      <c r="B22" t="s">
        <v>369</v>
      </c>
      <c r="C22" s="29">
        <v>7.6465277777777783E-4</v>
      </c>
      <c r="D22" s="29">
        <v>7.8155092592592588E-4</v>
      </c>
      <c r="E22" t="b">
        <f t="shared" si="0"/>
        <v>1</v>
      </c>
      <c r="K22">
        <v>19</v>
      </c>
      <c r="L22" t="s">
        <v>369</v>
      </c>
      <c r="M22" s="29">
        <v>7.6416666666666668E-4</v>
      </c>
      <c r="N22" s="29">
        <v>7.7960648148148149E-4</v>
      </c>
    </row>
    <row r="23" spans="1:14" hidden="1" x14ac:dyDescent="0.3">
      <c r="A23">
        <v>20</v>
      </c>
      <c r="B23" t="s">
        <v>370</v>
      </c>
      <c r="C23" s="29">
        <v>7.8203703703703703E-4</v>
      </c>
      <c r="D23" s="29">
        <v>8.0858796296296288E-4</v>
      </c>
      <c r="E23" t="b">
        <f t="shared" si="0"/>
        <v>1</v>
      </c>
      <c r="K23">
        <v>20</v>
      </c>
      <c r="L23" t="s">
        <v>370</v>
      </c>
      <c r="M23" s="29">
        <v>7.8153935185185195E-4</v>
      </c>
      <c r="N23" s="29">
        <v>8.0664351851851849E-4</v>
      </c>
    </row>
    <row r="24" spans="1:14" hidden="1" x14ac:dyDescent="0.3">
      <c r="A24">
        <v>21</v>
      </c>
      <c r="B24" t="s">
        <v>371</v>
      </c>
      <c r="C24" s="29">
        <v>8.0907407407407404E-4</v>
      </c>
      <c r="D24" s="29">
        <v>8.3996527777777791E-4</v>
      </c>
      <c r="E24" t="b">
        <f t="shared" si="0"/>
        <v>1</v>
      </c>
      <c r="K24">
        <v>21</v>
      </c>
      <c r="L24" t="s">
        <v>371</v>
      </c>
      <c r="M24" s="29">
        <v>8.0857638888888895E-4</v>
      </c>
      <c r="N24" s="29">
        <v>8.3946759259259261E-4</v>
      </c>
    </row>
    <row r="25" spans="1:14" hidden="1" x14ac:dyDescent="0.3">
      <c r="A25">
        <v>22</v>
      </c>
      <c r="B25" t="s">
        <v>372</v>
      </c>
      <c r="C25" s="29">
        <v>8.4768518518518515E-4</v>
      </c>
      <c r="D25" s="29">
        <v>8.7278935185185192E-4</v>
      </c>
      <c r="E25" t="b">
        <f t="shared" si="0"/>
        <v>1</v>
      </c>
      <c r="K25">
        <v>22</v>
      </c>
      <c r="L25" t="s">
        <v>372</v>
      </c>
      <c r="M25" s="29">
        <v>8.4719907407407411E-4</v>
      </c>
      <c r="N25" s="29">
        <v>8.7229166666666661E-4</v>
      </c>
    </row>
    <row r="26" spans="1:14" hidden="1" x14ac:dyDescent="0.3">
      <c r="A26">
        <v>23</v>
      </c>
      <c r="B26" t="s">
        <v>373</v>
      </c>
      <c r="C26" s="29">
        <v>9.9106481481481485E-4</v>
      </c>
      <c r="D26" s="29">
        <v>1.0171296296296295E-3</v>
      </c>
      <c r="E26" t="b">
        <f t="shared" si="0"/>
        <v>1</v>
      </c>
      <c r="K26">
        <v>23</v>
      </c>
      <c r="L26" t="s">
        <v>373</v>
      </c>
      <c r="M26" s="29">
        <v>9.9056712962962965E-4</v>
      </c>
      <c r="N26" s="29">
        <v>1.0151851851851852E-3</v>
      </c>
    </row>
    <row r="27" spans="1:14" hidden="1" x14ac:dyDescent="0.3">
      <c r="A27">
        <v>24</v>
      </c>
      <c r="B27" t="s">
        <v>374</v>
      </c>
      <c r="C27" s="29">
        <v>1.0176157407407408E-3</v>
      </c>
      <c r="D27" s="29">
        <v>1.0485069444444446E-3</v>
      </c>
      <c r="E27" t="b">
        <f t="shared" si="0"/>
        <v>1</v>
      </c>
      <c r="K27">
        <v>24</v>
      </c>
      <c r="L27" t="s">
        <v>374</v>
      </c>
      <c r="M27" s="29">
        <v>1.0171180555555556E-3</v>
      </c>
      <c r="N27" s="29">
        <v>1.0480092592592594E-3</v>
      </c>
    </row>
    <row r="28" spans="1:14" hidden="1" x14ac:dyDescent="0.3">
      <c r="A28">
        <v>25</v>
      </c>
      <c r="B28" t="s">
        <v>375</v>
      </c>
      <c r="C28" s="29">
        <v>1.0562268518518518E-3</v>
      </c>
      <c r="D28" s="29">
        <v>1.0837499999999999E-3</v>
      </c>
      <c r="E28" t="b">
        <f t="shared" si="0"/>
        <v>1</v>
      </c>
      <c r="K28">
        <v>25</v>
      </c>
      <c r="L28" t="s">
        <v>375</v>
      </c>
      <c r="M28" s="29">
        <v>1.0557407407407408E-3</v>
      </c>
      <c r="N28" s="29">
        <v>1.0818055555555557E-3</v>
      </c>
    </row>
    <row r="29" spans="1:14" hidden="1" x14ac:dyDescent="0.3">
      <c r="A29">
        <v>26</v>
      </c>
      <c r="B29" t="s">
        <v>376</v>
      </c>
      <c r="C29" s="29">
        <v>1.084224537037037E-3</v>
      </c>
      <c r="D29" s="29">
        <v>1.1035416666666667E-3</v>
      </c>
      <c r="E29" t="b">
        <f t="shared" si="0"/>
        <v>1</v>
      </c>
      <c r="K29">
        <v>26</v>
      </c>
      <c r="L29" t="s">
        <v>376</v>
      </c>
      <c r="M29" s="29">
        <v>1.0837384259259259E-3</v>
      </c>
      <c r="N29" s="29">
        <v>1.1011111111111111E-3</v>
      </c>
    </row>
    <row r="30" spans="1:14" hidden="1" x14ac:dyDescent="0.3">
      <c r="A30">
        <v>27</v>
      </c>
      <c r="B30" t="s">
        <v>377</v>
      </c>
      <c r="C30" s="29">
        <v>1.1040162037037036E-3</v>
      </c>
      <c r="D30" s="29">
        <v>1.121886574074074E-3</v>
      </c>
      <c r="E30" t="b">
        <f t="shared" si="0"/>
        <v>1</v>
      </c>
      <c r="K30">
        <v>27</v>
      </c>
      <c r="L30" t="s">
        <v>377</v>
      </c>
      <c r="M30" s="29">
        <v>1.1035300925925926E-3</v>
      </c>
      <c r="N30" s="29">
        <v>1.1199421296296296E-3</v>
      </c>
    </row>
    <row r="31" spans="1:14" hidden="1" x14ac:dyDescent="0.3">
      <c r="A31">
        <v>28</v>
      </c>
      <c r="B31" t="s">
        <v>378</v>
      </c>
      <c r="C31" s="29">
        <v>1.1223611111111113E-3</v>
      </c>
      <c r="D31" s="29">
        <v>1.1368518518518518E-3</v>
      </c>
      <c r="E31" t="b">
        <f t="shared" si="0"/>
        <v>1</v>
      </c>
      <c r="K31">
        <v>28</v>
      </c>
      <c r="L31" t="s">
        <v>378</v>
      </c>
      <c r="M31" s="29">
        <v>1.121875E-3</v>
      </c>
      <c r="N31" s="29">
        <v>1.1349074074074074E-3</v>
      </c>
    </row>
    <row r="32" spans="1:14" hidden="1" x14ac:dyDescent="0.3">
      <c r="A32">
        <v>29</v>
      </c>
      <c r="B32" t="s">
        <v>379</v>
      </c>
      <c r="C32" s="29">
        <v>1.1373263888888889E-3</v>
      </c>
      <c r="D32" s="29">
        <v>1.1875347222222224E-3</v>
      </c>
      <c r="E32" t="b">
        <f t="shared" si="0"/>
        <v>1</v>
      </c>
      <c r="K32">
        <v>29</v>
      </c>
      <c r="L32" t="s">
        <v>379</v>
      </c>
      <c r="M32" s="29">
        <v>1.1368402777777778E-3</v>
      </c>
      <c r="N32" s="29">
        <v>1.187037037037037E-3</v>
      </c>
    </row>
    <row r="33" spans="1:14" hidden="1" x14ac:dyDescent="0.3">
      <c r="A33">
        <v>30</v>
      </c>
      <c r="B33" t="s">
        <v>380</v>
      </c>
      <c r="C33" s="29">
        <v>1.1942939814814815E-3</v>
      </c>
      <c r="D33" s="29">
        <v>1.2150462962962961E-3</v>
      </c>
      <c r="E33" t="b">
        <f t="shared" si="0"/>
        <v>1</v>
      </c>
      <c r="K33">
        <v>30</v>
      </c>
      <c r="L33" t="s">
        <v>380</v>
      </c>
      <c r="M33" s="29">
        <v>1.1937962962962963E-3</v>
      </c>
      <c r="N33" s="29">
        <v>1.2131134259259259E-3</v>
      </c>
    </row>
    <row r="34" spans="1:14" hidden="1" x14ac:dyDescent="0.3">
      <c r="A34">
        <v>31</v>
      </c>
      <c r="B34" t="s">
        <v>381</v>
      </c>
      <c r="C34" s="29">
        <v>1.2155324074074074E-3</v>
      </c>
      <c r="D34" s="29">
        <v>1.2546296296296296E-3</v>
      </c>
      <c r="E34" t="b">
        <f t="shared" si="0"/>
        <v>1</v>
      </c>
      <c r="K34">
        <v>31</v>
      </c>
      <c r="L34" t="s">
        <v>381</v>
      </c>
      <c r="M34" s="29">
        <v>1.2150347222222222E-3</v>
      </c>
      <c r="N34" s="29">
        <v>1.2526967592592594E-3</v>
      </c>
    </row>
    <row r="35" spans="1:14" hidden="1" x14ac:dyDescent="0.3">
      <c r="A35">
        <v>32</v>
      </c>
      <c r="B35" t="s">
        <v>382</v>
      </c>
      <c r="C35" s="29">
        <v>1.2551157407407409E-3</v>
      </c>
      <c r="D35" s="29">
        <v>1.2937384259259258E-3</v>
      </c>
      <c r="E35" t="b">
        <f t="shared" si="0"/>
        <v>1</v>
      </c>
      <c r="K35">
        <v>32</v>
      </c>
      <c r="L35" t="s">
        <v>382</v>
      </c>
      <c r="M35" s="29">
        <v>1.2546180555555555E-3</v>
      </c>
      <c r="N35" s="29">
        <v>1.2932407407407406E-3</v>
      </c>
    </row>
    <row r="36" spans="1:14" hidden="1" x14ac:dyDescent="0.3">
      <c r="A36">
        <v>33</v>
      </c>
      <c r="B36" t="s">
        <v>383</v>
      </c>
      <c r="C36" s="29">
        <v>1.2995254629629628E-3</v>
      </c>
      <c r="D36" s="29">
        <v>1.3357291666666667E-3</v>
      </c>
      <c r="E36" t="b">
        <f t="shared" si="0"/>
        <v>1</v>
      </c>
      <c r="K36">
        <v>33</v>
      </c>
      <c r="L36" t="s">
        <v>383</v>
      </c>
      <c r="M36" s="29">
        <v>1.2990393518518518E-3</v>
      </c>
      <c r="N36" s="29">
        <v>1.3337962962962965E-3</v>
      </c>
    </row>
    <row r="37" spans="1:14" hidden="1" x14ac:dyDescent="0.3">
      <c r="A37">
        <v>34</v>
      </c>
      <c r="B37" t="s">
        <v>384</v>
      </c>
      <c r="C37" s="29">
        <v>1.3362152777777777E-3</v>
      </c>
      <c r="D37" s="29">
        <v>1.3724189814814814E-3</v>
      </c>
      <c r="E37" t="b">
        <f t="shared" si="0"/>
        <v>1</v>
      </c>
      <c r="K37">
        <v>34</v>
      </c>
      <c r="L37" t="s">
        <v>384</v>
      </c>
      <c r="M37" s="29">
        <v>1.3357175925925926E-3</v>
      </c>
      <c r="N37" s="29">
        <v>1.370474537037037E-3</v>
      </c>
    </row>
    <row r="38" spans="1:14" hidden="1" x14ac:dyDescent="0.3">
      <c r="A38">
        <v>35</v>
      </c>
      <c r="B38" t="s">
        <v>385</v>
      </c>
      <c r="C38" s="29">
        <v>1.3729050925925927E-3</v>
      </c>
      <c r="D38" s="29">
        <v>1.4134490740740741E-3</v>
      </c>
      <c r="E38" t="b">
        <f t="shared" si="0"/>
        <v>1</v>
      </c>
      <c r="K38">
        <v>35</v>
      </c>
      <c r="L38" t="s">
        <v>385</v>
      </c>
      <c r="M38" s="29">
        <v>1.3724074074074073E-3</v>
      </c>
      <c r="N38" s="29">
        <v>1.4129629629629629E-3</v>
      </c>
    </row>
    <row r="39" spans="1:14" hidden="1" x14ac:dyDescent="0.3">
      <c r="A39">
        <v>36</v>
      </c>
      <c r="B39" t="s">
        <v>386</v>
      </c>
      <c r="C39" s="29">
        <v>1.4197337962962963E-3</v>
      </c>
      <c r="D39" s="29">
        <v>1.456423611111111E-3</v>
      </c>
      <c r="E39" t="b">
        <f t="shared" si="0"/>
        <v>1</v>
      </c>
      <c r="K39">
        <v>36</v>
      </c>
      <c r="L39" t="s">
        <v>386</v>
      </c>
      <c r="M39" s="29">
        <v>1.4192361111111111E-3</v>
      </c>
      <c r="N39" s="29">
        <v>1.4559259259259261E-3</v>
      </c>
    </row>
    <row r="40" spans="1:14" hidden="1" x14ac:dyDescent="0.3">
      <c r="A40">
        <v>37</v>
      </c>
      <c r="B40" t="s">
        <v>387</v>
      </c>
      <c r="C40" s="29">
        <v>1.4752430555555556E-3</v>
      </c>
      <c r="D40" s="29">
        <v>1.495034722222222E-3</v>
      </c>
      <c r="E40" t="b">
        <f t="shared" si="0"/>
        <v>1</v>
      </c>
      <c r="K40">
        <v>37</v>
      </c>
      <c r="L40" t="s">
        <v>387</v>
      </c>
      <c r="M40" s="29">
        <v>1.4747453703703704E-3</v>
      </c>
      <c r="N40" s="29">
        <v>1.4930902777777776E-3</v>
      </c>
    </row>
    <row r="41" spans="1:14" hidden="1" x14ac:dyDescent="0.3">
      <c r="A41">
        <v>38</v>
      </c>
      <c r="B41" t="s">
        <v>388</v>
      </c>
      <c r="C41" s="29">
        <v>1.4955208333333333E-3</v>
      </c>
      <c r="D41" s="29">
        <v>1.5249652777777779E-3</v>
      </c>
      <c r="E41" t="b">
        <f t="shared" si="0"/>
        <v>1</v>
      </c>
      <c r="K41">
        <v>38</v>
      </c>
      <c r="L41" t="s">
        <v>388</v>
      </c>
      <c r="M41" s="29">
        <v>1.4950231481481481E-3</v>
      </c>
      <c r="N41" s="29">
        <v>1.5230208333333333E-3</v>
      </c>
    </row>
    <row r="42" spans="1:14" hidden="1" x14ac:dyDescent="0.3">
      <c r="A42">
        <v>39</v>
      </c>
      <c r="B42" t="s">
        <v>389</v>
      </c>
      <c r="C42" s="29">
        <v>1.5254513888888889E-3</v>
      </c>
      <c r="D42" s="29">
        <v>1.552476851851852E-3</v>
      </c>
      <c r="E42" t="b">
        <f t="shared" si="0"/>
        <v>1</v>
      </c>
      <c r="K42">
        <v>39</v>
      </c>
      <c r="L42" t="s">
        <v>389</v>
      </c>
      <c r="M42" s="29">
        <v>1.5249537037037037E-3</v>
      </c>
      <c r="N42" s="29">
        <v>1.5505439814814817E-3</v>
      </c>
    </row>
    <row r="43" spans="1:14" hidden="1" x14ac:dyDescent="0.3">
      <c r="A43">
        <v>40</v>
      </c>
      <c r="B43" t="s">
        <v>390</v>
      </c>
      <c r="C43" s="29">
        <v>1.5529629629629628E-3</v>
      </c>
      <c r="D43" s="29">
        <v>1.5891666666666667E-3</v>
      </c>
      <c r="E43" t="b">
        <f t="shared" si="0"/>
        <v>1</v>
      </c>
      <c r="K43">
        <v>40</v>
      </c>
      <c r="L43" t="s">
        <v>390</v>
      </c>
      <c r="M43" s="29">
        <v>1.552476851851852E-3</v>
      </c>
      <c r="N43" s="29">
        <v>1.5886805555555556E-3</v>
      </c>
    </row>
    <row r="44" spans="1:14" hidden="1" x14ac:dyDescent="0.3">
      <c r="A44">
        <v>41</v>
      </c>
      <c r="B44" t="s">
        <v>391</v>
      </c>
      <c r="C44" s="29">
        <v>1.6007523148148148E-3</v>
      </c>
      <c r="D44" s="29">
        <v>1.6166898148148147E-3</v>
      </c>
      <c r="E44" t="b">
        <f t="shared" si="0"/>
        <v>1</v>
      </c>
      <c r="K44">
        <v>41</v>
      </c>
      <c r="L44" t="s">
        <v>391</v>
      </c>
      <c r="M44" s="29">
        <v>1.5968865740740741E-3</v>
      </c>
      <c r="N44" s="29">
        <v>1.6161921296296297E-3</v>
      </c>
    </row>
    <row r="45" spans="1:14" hidden="1" x14ac:dyDescent="0.3">
      <c r="A45">
        <v>42</v>
      </c>
      <c r="B45" t="s">
        <v>392</v>
      </c>
      <c r="C45" s="29">
        <v>1.6268287037037037E-3</v>
      </c>
      <c r="D45" s="29">
        <v>1.6413078703703704E-3</v>
      </c>
      <c r="E45" t="b">
        <f t="shared" si="0"/>
        <v>1</v>
      </c>
      <c r="K45">
        <v>42</v>
      </c>
      <c r="L45" t="s">
        <v>392</v>
      </c>
      <c r="M45" s="29">
        <v>1.6263310185185183E-3</v>
      </c>
      <c r="N45" s="29">
        <v>1.640810185185185E-3</v>
      </c>
    </row>
    <row r="46" spans="1:14" hidden="1" x14ac:dyDescent="0.3">
      <c r="A46">
        <v>43</v>
      </c>
      <c r="B46" t="s">
        <v>393</v>
      </c>
      <c r="C46" s="29">
        <v>1.7576504629629628E-3</v>
      </c>
      <c r="D46" s="29">
        <v>1.7711574074074073E-3</v>
      </c>
      <c r="E46" t="b">
        <f t="shared" si="0"/>
        <v>1</v>
      </c>
      <c r="K46">
        <v>43</v>
      </c>
      <c r="L46" t="s">
        <v>393</v>
      </c>
      <c r="M46" s="29">
        <v>1.7571527777777778E-3</v>
      </c>
      <c r="N46" s="29">
        <v>1.7692245370370368E-3</v>
      </c>
    </row>
    <row r="47" spans="1:14" hidden="1" x14ac:dyDescent="0.3">
      <c r="A47">
        <v>44</v>
      </c>
      <c r="B47" t="s">
        <v>394</v>
      </c>
      <c r="C47" s="29">
        <v>1.7716435185185185E-3</v>
      </c>
      <c r="D47" s="29">
        <v>1.7880555555555555E-3</v>
      </c>
      <c r="E47" t="b">
        <f t="shared" si="0"/>
        <v>1</v>
      </c>
      <c r="K47">
        <v>44</v>
      </c>
      <c r="L47" t="s">
        <v>394</v>
      </c>
      <c r="M47" s="29">
        <v>1.7711458333333331E-3</v>
      </c>
      <c r="N47" s="29">
        <v>1.7875578703703703E-3</v>
      </c>
    </row>
    <row r="48" spans="1:14" hidden="1" x14ac:dyDescent="0.3">
      <c r="A48">
        <v>45</v>
      </c>
      <c r="B48" t="s">
        <v>395</v>
      </c>
      <c r="C48" s="29">
        <v>1.8174999999999999E-3</v>
      </c>
      <c r="D48" s="29">
        <v>1.8575694444444445E-3</v>
      </c>
      <c r="E48" t="b">
        <f t="shared" si="0"/>
        <v>1</v>
      </c>
      <c r="K48">
        <v>45</v>
      </c>
      <c r="L48" t="s">
        <v>395</v>
      </c>
      <c r="M48" s="29">
        <v>1.8170138888888891E-3</v>
      </c>
      <c r="N48" s="29">
        <v>1.8570717592592593E-3</v>
      </c>
    </row>
    <row r="49" spans="1:14" hidden="1" x14ac:dyDescent="0.3">
      <c r="A49">
        <v>46</v>
      </c>
      <c r="B49" t="s">
        <v>396</v>
      </c>
      <c r="C49" s="29">
        <v>1.8672222222222222E-3</v>
      </c>
      <c r="D49" s="29">
        <v>1.9043981481481481E-3</v>
      </c>
      <c r="E49" t="b">
        <f t="shared" si="0"/>
        <v>1</v>
      </c>
      <c r="K49">
        <v>46</v>
      </c>
      <c r="L49" t="s">
        <v>396</v>
      </c>
      <c r="M49" s="29">
        <v>1.8667361111111111E-3</v>
      </c>
      <c r="N49" s="29">
        <v>1.9024537037037039E-3</v>
      </c>
    </row>
    <row r="50" spans="1:14" hidden="1" x14ac:dyDescent="0.3">
      <c r="A50">
        <v>47</v>
      </c>
      <c r="B50" t="s">
        <v>397</v>
      </c>
      <c r="C50" s="29">
        <v>1.9048842592592592E-3</v>
      </c>
      <c r="D50" s="29">
        <v>1.9227430555555556E-3</v>
      </c>
      <c r="E50" t="b">
        <f t="shared" si="0"/>
        <v>1</v>
      </c>
      <c r="K50">
        <v>47</v>
      </c>
      <c r="L50" t="s">
        <v>397</v>
      </c>
      <c r="M50" s="29">
        <v>1.904386574074074E-3</v>
      </c>
      <c r="N50" s="29">
        <v>1.920798611111111E-3</v>
      </c>
    </row>
    <row r="51" spans="1:14" hidden="1" x14ac:dyDescent="0.3">
      <c r="A51">
        <v>48</v>
      </c>
      <c r="B51" t="s">
        <v>398</v>
      </c>
      <c r="C51" s="29">
        <v>1.9232175925925925E-3</v>
      </c>
      <c r="D51" s="29">
        <v>1.9594328703703705E-3</v>
      </c>
      <c r="E51" t="b">
        <f t="shared" si="0"/>
        <v>1</v>
      </c>
      <c r="K51">
        <v>48</v>
      </c>
      <c r="L51" t="s">
        <v>398</v>
      </c>
      <c r="M51" s="29">
        <v>1.9227314814814814E-3</v>
      </c>
      <c r="N51" s="29">
        <v>1.9574884259259259E-3</v>
      </c>
    </row>
    <row r="52" spans="1:14" hidden="1" x14ac:dyDescent="0.3">
      <c r="A52">
        <v>49</v>
      </c>
      <c r="B52" t="s">
        <v>399</v>
      </c>
      <c r="C52" s="29">
        <v>1.9599074074074076E-3</v>
      </c>
      <c r="D52" s="29">
        <v>1.9965972222222221E-3</v>
      </c>
      <c r="E52" t="b">
        <f t="shared" si="0"/>
        <v>1</v>
      </c>
      <c r="K52">
        <v>49</v>
      </c>
      <c r="L52" t="s">
        <v>399</v>
      </c>
      <c r="M52" s="29">
        <v>1.9594212962962959E-3</v>
      </c>
      <c r="N52" s="29">
        <v>1.9960995370370371E-3</v>
      </c>
    </row>
    <row r="53" spans="1:14" hidden="1" x14ac:dyDescent="0.3">
      <c r="A53">
        <v>50</v>
      </c>
      <c r="B53" t="s">
        <v>400</v>
      </c>
      <c r="C53" s="29">
        <v>2.0062500000000002E-3</v>
      </c>
      <c r="D53" s="29">
        <v>2.028946759259259E-3</v>
      </c>
      <c r="E53" t="b">
        <f t="shared" si="0"/>
        <v>1</v>
      </c>
      <c r="K53">
        <v>50</v>
      </c>
      <c r="L53" t="s">
        <v>400</v>
      </c>
      <c r="M53" s="29">
        <v>2.005763888888889E-3</v>
      </c>
      <c r="N53" s="29">
        <v>2.0270023148148148E-3</v>
      </c>
    </row>
    <row r="54" spans="1:14" hidden="1" x14ac:dyDescent="0.3">
      <c r="A54">
        <v>51</v>
      </c>
      <c r="B54" t="s">
        <v>401</v>
      </c>
      <c r="C54" s="29">
        <v>2.0294212962962961E-3</v>
      </c>
      <c r="D54" s="29">
        <v>2.059837962962963E-3</v>
      </c>
      <c r="E54" t="b">
        <f t="shared" si="0"/>
        <v>1</v>
      </c>
      <c r="K54">
        <v>51</v>
      </c>
      <c r="L54" t="s">
        <v>401</v>
      </c>
      <c r="M54" s="29">
        <v>2.0289351851851853E-3</v>
      </c>
      <c r="N54" s="29">
        <v>2.0578935185185184E-3</v>
      </c>
    </row>
    <row r="55" spans="1:14" hidden="1" x14ac:dyDescent="0.3">
      <c r="A55">
        <v>52</v>
      </c>
      <c r="B55" t="s">
        <v>402</v>
      </c>
      <c r="C55" s="29">
        <v>2.0603240740740742E-3</v>
      </c>
      <c r="D55" s="29">
        <v>2.080590277777778E-3</v>
      </c>
      <c r="E55" t="b">
        <f t="shared" si="0"/>
        <v>1</v>
      </c>
      <c r="K55">
        <v>52</v>
      </c>
      <c r="L55" t="s">
        <v>402</v>
      </c>
      <c r="M55" s="29">
        <v>2.0598263888888888E-3</v>
      </c>
      <c r="N55" s="29">
        <v>2.0801041666666667E-3</v>
      </c>
    </row>
    <row r="56" spans="1:14" hidden="1" x14ac:dyDescent="0.3">
      <c r="A56">
        <v>53</v>
      </c>
      <c r="B56" t="s">
        <v>403</v>
      </c>
      <c r="C56" s="29">
        <v>2.0921759259259261E-3</v>
      </c>
      <c r="D56" s="29">
        <v>2.1177662037037037E-3</v>
      </c>
      <c r="E56" t="b">
        <f t="shared" si="0"/>
        <v>1</v>
      </c>
      <c r="K56">
        <v>53</v>
      </c>
      <c r="L56" t="s">
        <v>403</v>
      </c>
      <c r="M56" s="29">
        <v>2.0916898148148149E-3</v>
      </c>
      <c r="N56" s="29">
        <v>2.1158217592592591E-3</v>
      </c>
    </row>
    <row r="57" spans="1:14" hidden="1" x14ac:dyDescent="0.3">
      <c r="A57">
        <v>54</v>
      </c>
      <c r="B57" t="s">
        <v>404</v>
      </c>
      <c r="C57" s="29">
        <v>2.1182523148148146E-3</v>
      </c>
      <c r="D57" s="29">
        <v>2.1491435185185185E-3</v>
      </c>
      <c r="E57" t="b">
        <f t="shared" si="0"/>
        <v>1</v>
      </c>
      <c r="K57">
        <v>54</v>
      </c>
      <c r="L57" t="s">
        <v>404</v>
      </c>
      <c r="M57" s="29">
        <v>2.1177546296296296E-3</v>
      </c>
      <c r="N57" s="29">
        <v>2.1486458333333331E-3</v>
      </c>
    </row>
    <row r="58" spans="1:14" hidden="1" x14ac:dyDescent="0.3">
      <c r="A58">
        <v>55</v>
      </c>
      <c r="B58" t="s">
        <v>405</v>
      </c>
      <c r="C58" s="29">
        <v>2.179560185185185E-3</v>
      </c>
      <c r="D58" s="29">
        <v>2.1935532407407407E-3</v>
      </c>
      <c r="E58" t="b">
        <f t="shared" si="0"/>
        <v>1</v>
      </c>
      <c r="K58">
        <v>55</v>
      </c>
      <c r="L58" t="s">
        <v>405</v>
      </c>
      <c r="M58" s="29">
        <v>2.1867824074074073E-3</v>
      </c>
      <c r="N58" s="29">
        <v>2.2051273148148147E-3</v>
      </c>
    </row>
    <row r="59" spans="1:14" hidden="1" x14ac:dyDescent="0.3">
      <c r="A59">
        <v>56</v>
      </c>
      <c r="B59" t="s">
        <v>406</v>
      </c>
      <c r="C59" s="29">
        <v>2.2220370370370371E-3</v>
      </c>
      <c r="D59" s="29">
        <v>2.2336226851851853E-3</v>
      </c>
      <c r="E59" t="b">
        <f t="shared" si="0"/>
        <v>1</v>
      </c>
      <c r="K59">
        <v>56</v>
      </c>
      <c r="L59" t="s">
        <v>406</v>
      </c>
      <c r="M59" s="29">
        <v>2.222025462962963E-3</v>
      </c>
      <c r="N59" s="29">
        <v>2.2321643518518519E-3</v>
      </c>
    </row>
    <row r="60" spans="1:14" hidden="1" x14ac:dyDescent="0.3">
      <c r="A60">
        <v>57</v>
      </c>
      <c r="B60" t="s">
        <v>407</v>
      </c>
      <c r="C60" s="29">
        <v>2.2341087962962961E-3</v>
      </c>
      <c r="D60" s="29">
        <v>2.2505208333333331E-3</v>
      </c>
      <c r="E60" t="b">
        <f t="shared" si="0"/>
        <v>1</v>
      </c>
      <c r="K60">
        <v>57</v>
      </c>
      <c r="L60" t="s">
        <v>407</v>
      </c>
      <c r="M60" s="29">
        <v>2.2340972222222224E-3</v>
      </c>
      <c r="N60" s="29">
        <v>2.2490624999999998E-3</v>
      </c>
    </row>
    <row r="61" spans="1:14" hidden="1" x14ac:dyDescent="0.3">
      <c r="A61">
        <v>58</v>
      </c>
      <c r="B61" t="s">
        <v>408</v>
      </c>
      <c r="C61" s="29">
        <v>2.2509953703703702E-3</v>
      </c>
      <c r="D61" s="29">
        <v>2.2876851851851851E-3</v>
      </c>
      <c r="E61" t="b">
        <f t="shared" si="0"/>
        <v>1</v>
      </c>
      <c r="K61">
        <v>58</v>
      </c>
      <c r="L61" t="s">
        <v>408</v>
      </c>
      <c r="M61" s="29">
        <v>2.2509837962962965E-3</v>
      </c>
      <c r="N61" s="29">
        <v>2.287673611111111E-3</v>
      </c>
    </row>
    <row r="62" spans="1:14" hidden="1" x14ac:dyDescent="0.3">
      <c r="A62">
        <v>59</v>
      </c>
      <c r="B62" t="s">
        <v>409</v>
      </c>
      <c r="C62" s="29">
        <v>2.291550925925926E-3</v>
      </c>
      <c r="D62" s="29">
        <v>2.3330671296296298E-3</v>
      </c>
      <c r="E62" t="b">
        <f t="shared" si="0"/>
        <v>1</v>
      </c>
      <c r="K62">
        <v>59</v>
      </c>
      <c r="L62" t="s">
        <v>409</v>
      </c>
      <c r="M62" s="29">
        <v>2.2915393518518519E-3</v>
      </c>
      <c r="N62" s="29">
        <v>2.3330555555555557E-3</v>
      </c>
    </row>
    <row r="63" spans="1:14" hidden="1" x14ac:dyDescent="0.3">
      <c r="A63">
        <v>60</v>
      </c>
      <c r="B63" t="s">
        <v>410</v>
      </c>
      <c r="C63" s="29">
        <v>2.3557523148148149E-3</v>
      </c>
      <c r="D63" s="29">
        <v>2.3707175925925922E-3</v>
      </c>
      <c r="E63" t="b">
        <f t="shared" si="0"/>
        <v>1</v>
      </c>
      <c r="K63">
        <v>60</v>
      </c>
      <c r="L63" t="s">
        <v>410</v>
      </c>
      <c r="M63" s="29">
        <v>2.3552546296296295E-3</v>
      </c>
      <c r="N63" s="29">
        <v>2.3687731481481481E-3</v>
      </c>
    </row>
    <row r="64" spans="1:14" hidden="1" x14ac:dyDescent="0.3">
      <c r="A64">
        <v>61</v>
      </c>
      <c r="B64" t="s">
        <v>411</v>
      </c>
      <c r="C64" s="29">
        <v>2.3712037037037039E-3</v>
      </c>
      <c r="D64" s="29">
        <v>2.3847222222222221E-3</v>
      </c>
      <c r="E64" t="b">
        <f t="shared" si="0"/>
        <v>1</v>
      </c>
      <c r="K64">
        <v>61</v>
      </c>
      <c r="L64" t="s">
        <v>411</v>
      </c>
      <c r="M64" s="29">
        <v>2.3707060185185185E-3</v>
      </c>
      <c r="N64" s="29">
        <v>2.3827777777777779E-3</v>
      </c>
    </row>
    <row r="65" spans="1:14" hidden="1" x14ac:dyDescent="0.3">
      <c r="A65">
        <v>62</v>
      </c>
      <c r="B65" t="s">
        <v>411</v>
      </c>
      <c r="C65" s="29">
        <v>2.3851967592592592E-3</v>
      </c>
      <c r="D65" s="29">
        <v>2.4030671296296296E-3</v>
      </c>
      <c r="E65" t="b">
        <f t="shared" si="0"/>
        <v>1</v>
      </c>
      <c r="K65">
        <v>62</v>
      </c>
      <c r="L65" t="s">
        <v>411</v>
      </c>
      <c r="M65" s="29">
        <v>2.384710648148148E-3</v>
      </c>
      <c r="N65" s="29">
        <v>2.4025694444444446E-3</v>
      </c>
    </row>
    <row r="66" spans="1:14" hidden="1" x14ac:dyDescent="0.3">
      <c r="A66">
        <v>63</v>
      </c>
      <c r="B66" t="s">
        <v>412</v>
      </c>
      <c r="C66" s="29">
        <v>2.4151273148148148E-3</v>
      </c>
      <c r="D66" s="29">
        <v>2.4344444444444448E-3</v>
      </c>
      <c r="E66" t="b">
        <f t="shared" si="0"/>
        <v>1</v>
      </c>
      <c r="K66">
        <v>63</v>
      </c>
      <c r="L66" t="s">
        <v>412</v>
      </c>
      <c r="M66" s="29">
        <v>2.4151157407407407E-3</v>
      </c>
      <c r="N66" s="29">
        <v>2.4329745370370369E-3</v>
      </c>
    </row>
    <row r="67" spans="1:14" hidden="1" x14ac:dyDescent="0.3">
      <c r="A67">
        <v>64</v>
      </c>
      <c r="B67" t="s">
        <v>413</v>
      </c>
      <c r="C67" s="29">
        <v>2.4349189814814815E-3</v>
      </c>
      <c r="D67" s="29">
        <v>2.4672685185185184E-3</v>
      </c>
      <c r="E67" t="b">
        <f t="shared" si="0"/>
        <v>1</v>
      </c>
      <c r="K67">
        <v>64</v>
      </c>
      <c r="L67" t="s">
        <v>413</v>
      </c>
      <c r="M67" s="29">
        <v>2.4349074074074073E-3</v>
      </c>
      <c r="N67" s="29">
        <v>2.465810185185185E-3</v>
      </c>
    </row>
    <row r="68" spans="1:14" hidden="1" x14ac:dyDescent="0.3">
      <c r="A68">
        <v>65</v>
      </c>
      <c r="B68" t="s">
        <v>414</v>
      </c>
      <c r="C68" s="29">
        <v>2.4677430555555555E-3</v>
      </c>
      <c r="D68" s="29">
        <v>2.4846412037037038E-3</v>
      </c>
      <c r="E68" t="b">
        <f t="shared" ref="E68:E131" si="1">B68=L68</f>
        <v>1</v>
      </c>
      <c r="K68">
        <v>65</v>
      </c>
      <c r="L68" t="s">
        <v>414</v>
      </c>
      <c r="M68" s="29">
        <v>2.4677314814814813E-3</v>
      </c>
      <c r="N68" s="29">
        <v>2.4846296296296296E-3</v>
      </c>
    </row>
    <row r="69" spans="1:14" hidden="1" x14ac:dyDescent="0.3">
      <c r="A69">
        <v>66</v>
      </c>
      <c r="B69" t="s">
        <v>415</v>
      </c>
      <c r="C69" s="29">
        <v>2.4962268518518519E-3</v>
      </c>
      <c r="D69" s="29">
        <v>2.5266435185185183E-3</v>
      </c>
      <c r="E69" t="b">
        <f t="shared" si="1"/>
        <v>1</v>
      </c>
      <c r="K69">
        <v>66</v>
      </c>
      <c r="L69" t="s">
        <v>415</v>
      </c>
      <c r="M69" s="29">
        <v>2.4962152777777778E-3</v>
      </c>
      <c r="N69" s="29">
        <v>2.525185185185185E-3</v>
      </c>
    </row>
    <row r="70" spans="1:14" hidden="1" x14ac:dyDescent="0.3">
      <c r="A70">
        <v>67</v>
      </c>
      <c r="B70" t="s">
        <v>416</v>
      </c>
      <c r="C70" s="29">
        <v>2.5271296296296296E-3</v>
      </c>
      <c r="D70" s="29">
        <v>2.5869791666666667E-3</v>
      </c>
      <c r="E70" t="b">
        <f t="shared" si="1"/>
        <v>1</v>
      </c>
      <c r="K70">
        <v>67</v>
      </c>
      <c r="L70" t="s">
        <v>416</v>
      </c>
      <c r="M70" s="29">
        <v>2.5271180555555559E-3</v>
      </c>
      <c r="N70" s="29">
        <v>2.5869675925925925E-3</v>
      </c>
    </row>
    <row r="71" spans="1:14" x14ac:dyDescent="0.3">
      <c r="A71">
        <v>68</v>
      </c>
      <c r="B71" s="23" t="s">
        <v>417</v>
      </c>
      <c r="C71" s="29">
        <v>2.5927777777777776E-3</v>
      </c>
      <c r="D71" s="29">
        <v>2.6193287037037036E-3</v>
      </c>
      <c r="E71" t="b">
        <f>B71=L71</f>
        <v>0</v>
      </c>
      <c r="K71">
        <v>68</v>
      </c>
      <c r="L71" s="23" t="s">
        <v>762</v>
      </c>
      <c r="M71" s="29">
        <v>2.5927662037037035E-3</v>
      </c>
      <c r="N71" s="29">
        <v>2.6178703703703702E-3</v>
      </c>
    </row>
    <row r="72" spans="1:14" hidden="1" x14ac:dyDescent="0.3">
      <c r="A72">
        <v>69</v>
      </c>
      <c r="B72" t="s">
        <v>418</v>
      </c>
      <c r="C72" s="29">
        <v>2.6198148148148148E-3</v>
      </c>
      <c r="D72" s="29">
        <v>2.6453935185185187E-3</v>
      </c>
      <c r="E72" t="b">
        <f t="shared" si="1"/>
        <v>1</v>
      </c>
      <c r="K72">
        <v>69</v>
      </c>
      <c r="L72" t="s">
        <v>418</v>
      </c>
      <c r="M72" s="29">
        <v>2.6198032407407407E-3</v>
      </c>
      <c r="N72" s="29">
        <v>2.6439351851851854E-3</v>
      </c>
    </row>
    <row r="73" spans="1:14" hidden="1" x14ac:dyDescent="0.3">
      <c r="A73">
        <v>70</v>
      </c>
      <c r="B73" t="s">
        <v>411</v>
      </c>
      <c r="C73" s="29">
        <v>2.6458796296296295E-3</v>
      </c>
      <c r="D73" s="29">
        <v>2.6661574074074075E-3</v>
      </c>
      <c r="E73" t="b">
        <f t="shared" si="1"/>
        <v>1</v>
      </c>
      <c r="K73">
        <v>70</v>
      </c>
      <c r="L73" t="s">
        <v>411</v>
      </c>
      <c r="M73" s="29">
        <v>2.6458680555555558E-3</v>
      </c>
      <c r="N73" s="29">
        <v>2.6646990740740741E-3</v>
      </c>
    </row>
    <row r="74" spans="1:14" hidden="1" x14ac:dyDescent="0.3">
      <c r="A74">
        <v>71</v>
      </c>
      <c r="B74" t="s">
        <v>419</v>
      </c>
      <c r="C74" s="29">
        <v>2.6666319444444441E-3</v>
      </c>
      <c r="D74" s="29">
        <v>2.6873958333333333E-3</v>
      </c>
      <c r="E74" t="b">
        <f t="shared" si="1"/>
        <v>1</v>
      </c>
      <c r="K74">
        <v>71</v>
      </c>
      <c r="L74" t="s">
        <v>419</v>
      </c>
      <c r="M74" s="29">
        <v>2.6666203703703704E-3</v>
      </c>
      <c r="N74" s="29">
        <v>2.6873842592592592E-3</v>
      </c>
    </row>
    <row r="75" spans="1:14" hidden="1" x14ac:dyDescent="0.3">
      <c r="A75">
        <v>72</v>
      </c>
      <c r="B75" t="s">
        <v>420</v>
      </c>
      <c r="C75" s="29">
        <v>2.7033217592592595E-3</v>
      </c>
      <c r="D75" s="29">
        <v>2.7211805555555557E-3</v>
      </c>
      <c r="E75" t="b">
        <f t="shared" si="1"/>
        <v>1</v>
      </c>
      <c r="K75">
        <v>72</v>
      </c>
      <c r="L75" t="s">
        <v>420</v>
      </c>
      <c r="M75" s="29">
        <v>2.7033101851851853E-3</v>
      </c>
      <c r="N75" s="29">
        <v>2.7211689814814815E-3</v>
      </c>
    </row>
    <row r="76" spans="1:14" hidden="1" x14ac:dyDescent="0.3">
      <c r="A76">
        <v>73</v>
      </c>
      <c r="B76" t="s">
        <v>421</v>
      </c>
      <c r="C76" s="29">
        <v>2.7260069444444441E-3</v>
      </c>
      <c r="D76" s="29">
        <v>2.7448379629629628E-3</v>
      </c>
      <c r="E76" t="b">
        <f t="shared" si="1"/>
        <v>1</v>
      </c>
      <c r="K76">
        <v>73</v>
      </c>
      <c r="L76" t="s">
        <v>421</v>
      </c>
      <c r="M76" s="29">
        <v>2.7259953703703704E-3</v>
      </c>
      <c r="N76" s="29">
        <v>2.7433796296296295E-3</v>
      </c>
    </row>
    <row r="77" spans="1:14" hidden="1" x14ac:dyDescent="0.3">
      <c r="A77">
        <v>74</v>
      </c>
      <c r="B77" t="s">
        <v>422</v>
      </c>
      <c r="C77" s="29">
        <v>2.7453240740740741E-3</v>
      </c>
      <c r="D77" s="29">
        <v>2.7738078703703701E-3</v>
      </c>
      <c r="E77" t="b">
        <f t="shared" si="1"/>
        <v>1</v>
      </c>
      <c r="K77">
        <v>74</v>
      </c>
      <c r="L77" t="s">
        <v>422</v>
      </c>
      <c r="M77" s="29">
        <v>2.7453124999999999E-3</v>
      </c>
      <c r="N77" s="29">
        <v>2.772337962962963E-3</v>
      </c>
    </row>
    <row r="78" spans="1:14" hidden="1" x14ac:dyDescent="0.3">
      <c r="A78">
        <v>75</v>
      </c>
      <c r="B78" t="s">
        <v>423</v>
      </c>
      <c r="C78" s="29">
        <v>2.7742824074074076E-3</v>
      </c>
      <c r="D78" s="29">
        <v>2.7873148148148149E-3</v>
      </c>
      <c r="E78" t="b">
        <f t="shared" si="1"/>
        <v>1</v>
      </c>
      <c r="K78">
        <v>75</v>
      </c>
      <c r="L78" t="s">
        <v>423</v>
      </c>
      <c r="M78" s="29">
        <v>2.7742708333333334E-3</v>
      </c>
      <c r="N78" s="29">
        <v>2.7858564814814816E-3</v>
      </c>
    </row>
    <row r="79" spans="1:14" hidden="1" x14ac:dyDescent="0.3">
      <c r="A79">
        <v>76</v>
      </c>
      <c r="B79" t="s">
        <v>424</v>
      </c>
      <c r="C79" s="29">
        <v>2.7878009259259262E-3</v>
      </c>
      <c r="D79" s="29">
        <v>2.8075925925925924E-3</v>
      </c>
      <c r="E79" t="b">
        <f t="shared" si="1"/>
        <v>1</v>
      </c>
      <c r="K79">
        <v>76</v>
      </c>
      <c r="L79" t="s">
        <v>424</v>
      </c>
      <c r="M79" s="29">
        <v>2.7877893518518521E-3</v>
      </c>
      <c r="N79" s="29">
        <v>2.8075810185185183E-3</v>
      </c>
    </row>
    <row r="80" spans="1:14" hidden="1" x14ac:dyDescent="0.3">
      <c r="A80">
        <v>77</v>
      </c>
      <c r="B80" t="s">
        <v>425</v>
      </c>
      <c r="C80" s="29">
        <v>2.8283564814814816E-3</v>
      </c>
      <c r="D80" s="29">
        <v>2.845729166666667E-3</v>
      </c>
      <c r="E80" t="b">
        <f t="shared" si="1"/>
        <v>1</v>
      </c>
      <c r="K80">
        <v>77</v>
      </c>
      <c r="L80" t="s">
        <v>425</v>
      </c>
      <c r="M80" s="29">
        <v>2.8283449074074075E-3</v>
      </c>
      <c r="N80" s="29">
        <v>2.8442708333333332E-3</v>
      </c>
    </row>
    <row r="81" spans="1:14" hidden="1" x14ac:dyDescent="0.3">
      <c r="A81">
        <v>78</v>
      </c>
      <c r="B81" t="s">
        <v>426</v>
      </c>
      <c r="C81" s="29">
        <v>2.8462152777777778E-3</v>
      </c>
      <c r="D81" s="29">
        <v>2.8689004629629629E-3</v>
      </c>
      <c r="E81" t="b">
        <f t="shared" si="1"/>
        <v>1</v>
      </c>
      <c r="K81">
        <v>78</v>
      </c>
      <c r="L81" t="s">
        <v>426</v>
      </c>
      <c r="M81" s="29">
        <v>2.8462037037037037E-3</v>
      </c>
      <c r="N81" s="29">
        <v>2.8688888888888891E-3</v>
      </c>
    </row>
    <row r="82" spans="1:14" hidden="1" x14ac:dyDescent="0.3">
      <c r="A82">
        <v>79</v>
      </c>
      <c r="B82" t="s">
        <v>427</v>
      </c>
      <c r="C82" s="29">
        <v>2.8997916666666668E-3</v>
      </c>
      <c r="D82" s="29">
        <v>2.9210416666666664E-3</v>
      </c>
      <c r="E82" t="b">
        <f t="shared" si="1"/>
        <v>1</v>
      </c>
      <c r="K82">
        <v>79</v>
      </c>
      <c r="L82" t="s">
        <v>427</v>
      </c>
      <c r="M82" s="29">
        <v>2.8997800925925927E-3</v>
      </c>
      <c r="N82" s="29">
        <v>2.9195833333333335E-3</v>
      </c>
    </row>
    <row r="83" spans="1:14" hidden="1" x14ac:dyDescent="0.3">
      <c r="A83">
        <v>80</v>
      </c>
      <c r="B83" t="s">
        <v>428</v>
      </c>
      <c r="C83" s="29">
        <v>2.9215162037037039E-3</v>
      </c>
      <c r="D83" s="29">
        <v>2.9572453703703705E-3</v>
      </c>
      <c r="E83" t="b">
        <f t="shared" si="1"/>
        <v>1</v>
      </c>
      <c r="K83">
        <v>80</v>
      </c>
      <c r="L83" t="s">
        <v>428</v>
      </c>
      <c r="M83" s="29">
        <v>2.9215046296296298E-3</v>
      </c>
      <c r="N83" s="29">
        <v>2.9572337962962963E-3</v>
      </c>
    </row>
    <row r="84" spans="1:14" hidden="1" x14ac:dyDescent="0.3">
      <c r="A84">
        <v>81</v>
      </c>
      <c r="B84" t="s">
        <v>429</v>
      </c>
      <c r="C84" s="29">
        <v>2.9644791666666665E-3</v>
      </c>
      <c r="D84" s="29">
        <v>2.9905555555555558E-3</v>
      </c>
      <c r="E84" t="b">
        <f t="shared" si="1"/>
        <v>1</v>
      </c>
      <c r="K84">
        <v>81</v>
      </c>
      <c r="L84" t="s">
        <v>429</v>
      </c>
      <c r="M84" s="29">
        <v>2.9644675925925923E-3</v>
      </c>
      <c r="N84" s="29">
        <v>2.989097222222222E-3</v>
      </c>
    </row>
    <row r="85" spans="1:14" hidden="1" x14ac:dyDescent="0.3">
      <c r="A85">
        <v>82</v>
      </c>
      <c r="B85" t="s">
        <v>430</v>
      </c>
      <c r="C85" s="29">
        <v>2.9910300925925929E-3</v>
      </c>
      <c r="D85" s="29">
        <v>3.0098611111111112E-3</v>
      </c>
      <c r="E85" t="b">
        <f t="shared" si="1"/>
        <v>1</v>
      </c>
      <c r="K85">
        <v>82</v>
      </c>
      <c r="L85" t="s">
        <v>430</v>
      </c>
      <c r="M85" s="29">
        <v>2.9910185185185183E-3</v>
      </c>
      <c r="N85" s="29">
        <v>3.009849537037037E-3</v>
      </c>
    </row>
    <row r="86" spans="1:14" hidden="1" x14ac:dyDescent="0.3">
      <c r="A86">
        <v>83</v>
      </c>
      <c r="B86" t="s">
        <v>431</v>
      </c>
      <c r="C86" s="29">
        <v>3.0339930555555554E-3</v>
      </c>
      <c r="D86" s="29">
        <v>3.0557175925925925E-3</v>
      </c>
      <c r="E86" t="b">
        <f t="shared" si="1"/>
        <v>1</v>
      </c>
      <c r="K86">
        <v>83</v>
      </c>
      <c r="L86" t="s">
        <v>431</v>
      </c>
      <c r="M86" s="29">
        <v>3.0339814814814817E-3</v>
      </c>
      <c r="N86" s="29">
        <v>3.0542592592592592E-3</v>
      </c>
    </row>
    <row r="87" spans="1:14" hidden="1" x14ac:dyDescent="0.3">
      <c r="A87">
        <v>84</v>
      </c>
      <c r="B87" t="s">
        <v>432</v>
      </c>
      <c r="C87" s="29">
        <v>3.0562037037037033E-3</v>
      </c>
      <c r="D87" s="29">
        <v>3.0774421296296301E-3</v>
      </c>
      <c r="E87" t="b">
        <f t="shared" si="1"/>
        <v>1</v>
      </c>
      <c r="K87">
        <v>84</v>
      </c>
      <c r="L87" t="s">
        <v>432</v>
      </c>
      <c r="M87" s="29">
        <v>3.0561921296296296E-3</v>
      </c>
      <c r="N87" s="29">
        <v>3.0774305555555555E-3</v>
      </c>
    </row>
    <row r="88" spans="1:14" hidden="1" x14ac:dyDescent="0.3">
      <c r="A88">
        <v>85</v>
      </c>
      <c r="B88" t="s">
        <v>433</v>
      </c>
      <c r="C88" s="29">
        <v>3.0846874999999998E-3</v>
      </c>
      <c r="D88" s="29">
        <v>3.1218518518518518E-3</v>
      </c>
      <c r="E88" t="b">
        <f t="shared" si="1"/>
        <v>1</v>
      </c>
      <c r="K88">
        <v>85</v>
      </c>
      <c r="L88" t="s">
        <v>433</v>
      </c>
      <c r="M88" s="29">
        <v>3.084675925925926E-3</v>
      </c>
      <c r="N88" s="29">
        <v>3.1218402777777776E-3</v>
      </c>
    </row>
    <row r="89" spans="1:14" hidden="1" x14ac:dyDescent="0.3">
      <c r="A89">
        <v>86</v>
      </c>
      <c r="B89" t="s">
        <v>434</v>
      </c>
      <c r="C89" s="29">
        <v>3.1276504629629627E-3</v>
      </c>
      <c r="D89" s="29">
        <v>3.1512962962962961E-3</v>
      </c>
      <c r="E89" t="b">
        <f t="shared" si="1"/>
        <v>1</v>
      </c>
      <c r="K89">
        <v>86</v>
      </c>
      <c r="L89" t="s">
        <v>434</v>
      </c>
      <c r="M89" s="29">
        <v>3.127638888888889E-3</v>
      </c>
      <c r="N89" s="29">
        <v>3.1498379629629632E-3</v>
      </c>
    </row>
    <row r="90" spans="1:14" hidden="1" x14ac:dyDescent="0.3">
      <c r="A90">
        <v>87</v>
      </c>
      <c r="B90" t="s">
        <v>435</v>
      </c>
      <c r="C90" s="29">
        <v>3.1517824074074078E-3</v>
      </c>
      <c r="D90" s="29">
        <v>3.1686805555555557E-3</v>
      </c>
      <c r="E90" t="b">
        <f t="shared" si="1"/>
        <v>1</v>
      </c>
      <c r="K90">
        <v>87</v>
      </c>
      <c r="L90" t="s">
        <v>435</v>
      </c>
      <c r="M90" s="29">
        <v>3.1517708333333332E-3</v>
      </c>
      <c r="N90" s="29">
        <v>3.1672222222222223E-3</v>
      </c>
    </row>
    <row r="91" spans="1:14" hidden="1" x14ac:dyDescent="0.3">
      <c r="A91">
        <v>88</v>
      </c>
      <c r="B91" t="s">
        <v>436</v>
      </c>
      <c r="C91" s="29">
        <v>3.1691666666666669E-3</v>
      </c>
      <c r="D91" s="29">
        <v>3.2063310185185185E-3</v>
      </c>
      <c r="E91" t="b">
        <f t="shared" si="1"/>
        <v>1</v>
      </c>
      <c r="K91">
        <v>88</v>
      </c>
      <c r="L91" t="s">
        <v>436</v>
      </c>
      <c r="M91" s="29">
        <v>3.1691550925925928E-3</v>
      </c>
      <c r="N91" s="29">
        <v>3.2048726851851852E-3</v>
      </c>
    </row>
    <row r="92" spans="1:14" hidden="1" x14ac:dyDescent="0.3">
      <c r="A92">
        <v>89</v>
      </c>
      <c r="B92" t="s">
        <v>437</v>
      </c>
      <c r="C92" s="29">
        <v>3.2068171296296298E-3</v>
      </c>
      <c r="D92" s="29">
        <v>3.2420601851851851E-3</v>
      </c>
      <c r="E92" t="b">
        <f t="shared" si="1"/>
        <v>1</v>
      </c>
      <c r="K92">
        <v>89</v>
      </c>
      <c r="L92" t="s">
        <v>437</v>
      </c>
      <c r="M92" s="29">
        <v>3.2068055555555552E-3</v>
      </c>
      <c r="N92" s="29">
        <v>3.2420486111111109E-3</v>
      </c>
    </row>
    <row r="93" spans="1:14" hidden="1" x14ac:dyDescent="0.3">
      <c r="A93">
        <v>90</v>
      </c>
      <c r="B93" t="s">
        <v>438</v>
      </c>
      <c r="C93" s="29">
        <v>3.2517129629629628E-3</v>
      </c>
      <c r="D93" s="29">
        <v>3.2816435185185184E-3</v>
      </c>
      <c r="E93" t="b">
        <f t="shared" si="1"/>
        <v>1</v>
      </c>
      <c r="K93">
        <v>90</v>
      </c>
      <c r="L93" t="s">
        <v>438</v>
      </c>
      <c r="M93" s="29">
        <v>3.251701388888889E-3</v>
      </c>
      <c r="N93" s="29">
        <v>3.2816319444444447E-3</v>
      </c>
    </row>
    <row r="94" spans="1:14" hidden="1" x14ac:dyDescent="0.3">
      <c r="A94">
        <v>91</v>
      </c>
      <c r="B94" t="s">
        <v>439</v>
      </c>
      <c r="C94" s="29">
        <v>3.2859837962962964E-3</v>
      </c>
      <c r="D94" s="29">
        <v>3.3038425925925926E-3</v>
      </c>
      <c r="E94" t="b">
        <f t="shared" si="1"/>
        <v>1</v>
      </c>
      <c r="K94">
        <v>91</v>
      </c>
      <c r="L94" t="s">
        <v>439</v>
      </c>
      <c r="M94" s="29">
        <v>3.2859722222222222E-3</v>
      </c>
      <c r="N94" s="29">
        <v>3.3038310185185189E-3</v>
      </c>
    </row>
    <row r="95" spans="1:14" hidden="1" x14ac:dyDescent="0.3">
      <c r="A95">
        <v>92</v>
      </c>
      <c r="B95" t="s">
        <v>440</v>
      </c>
      <c r="C95" s="29">
        <v>3.3303935185185181E-3</v>
      </c>
      <c r="D95" s="29">
        <v>3.3550115740740741E-3</v>
      </c>
      <c r="E95" t="b">
        <f t="shared" si="1"/>
        <v>1</v>
      </c>
      <c r="K95">
        <v>92</v>
      </c>
      <c r="L95" t="s">
        <v>440</v>
      </c>
      <c r="M95" s="29">
        <v>3.3303819444444444E-3</v>
      </c>
      <c r="N95" s="29">
        <v>3.3535532407407407E-3</v>
      </c>
    </row>
    <row r="96" spans="1:14" hidden="1" x14ac:dyDescent="0.3">
      <c r="A96">
        <v>93</v>
      </c>
      <c r="B96" t="s">
        <v>441</v>
      </c>
      <c r="C96" s="29">
        <v>3.3554976851851853E-3</v>
      </c>
      <c r="D96" s="29">
        <v>3.3878472222222218E-3</v>
      </c>
      <c r="E96" t="b">
        <f t="shared" si="1"/>
        <v>1</v>
      </c>
      <c r="K96">
        <v>93</v>
      </c>
      <c r="L96" t="s">
        <v>441</v>
      </c>
      <c r="M96" s="29">
        <v>3.3554861111111112E-3</v>
      </c>
      <c r="N96" s="29">
        <v>3.3863773148148143E-3</v>
      </c>
    </row>
    <row r="97" spans="1:14" hidden="1" x14ac:dyDescent="0.3">
      <c r="A97">
        <v>94</v>
      </c>
      <c r="B97" t="s">
        <v>442</v>
      </c>
      <c r="C97" s="29">
        <v>3.3883217592592589E-3</v>
      </c>
      <c r="D97" s="29">
        <v>3.4274305555555555E-3</v>
      </c>
      <c r="E97" t="b">
        <f t="shared" si="1"/>
        <v>1</v>
      </c>
      <c r="K97">
        <v>94</v>
      </c>
      <c r="L97" t="s">
        <v>442</v>
      </c>
      <c r="M97" s="29">
        <v>3.3883101851851852E-3</v>
      </c>
      <c r="N97" s="29">
        <v>3.4274189814814818E-3</v>
      </c>
    </row>
    <row r="98" spans="1:14" hidden="1" x14ac:dyDescent="0.3">
      <c r="A98">
        <v>95</v>
      </c>
      <c r="B98" t="s">
        <v>443</v>
      </c>
      <c r="C98" s="29">
        <v>3.4462499999999997E-3</v>
      </c>
      <c r="D98" s="29">
        <v>3.4612152777777775E-3</v>
      </c>
      <c r="E98" t="b">
        <f t="shared" si="1"/>
        <v>1</v>
      </c>
      <c r="K98">
        <v>95</v>
      </c>
      <c r="L98" t="s">
        <v>443</v>
      </c>
      <c r="M98" s="29">
        <v>3.4462384259259259E-3</v>
      </c>
      <c r="N98" s="29">
        <v>3.4597569444444446E-3</v>
      </c>
    </row>
    <row r="99" spans="1:14" hidden="1" x14ac:dyDescent="0.3">
      <c r="A99">
        <v>96</v>
      </c>
      <c r="B99" t="s">
        <v>444</v>
      </c>
      <c r="C99" s="29">
        <v>3.4617013888888892E-3</v>
      </c>
      <c r="D99" s="29">
        <v>3.4814930555555554E-3</v>
      </c>
      <c r="E99" t="b">
        <f t="shared" si="1"/>
        <v>1</v>
      </c>
      <c r="K99">
        <v>96</v>
      </c>
      <c r="L99" t="s">
        <v>444</v>
      </c>
      <c r="M99" s="29">
        <v>3.461689814814815E-3</v>
      </c>
      <c r="N99" s="29">
        <v>3.4800347222222225E-3</v>
      </c>
    </row>
    <row r="100" spans="1:14" hidden="1" x14ac:dyDescent="0.3">
      <c r="A100">
        <v>97</v>
      </c>
      <c r="B100" t="s">
        <v>445</v>
      </c>
      <c r="C100" s="29">
        <v>3.4819791666666671E-3</v>
      </c>
      <c r="D100" s="29">
        <v>3.5239699074074075E-3</v>
      </c>
      <c r="E100" t="b">
        <f t="shared" si="1"/>
        <v>1</v>
      </c>
      <c r="K100">
        <v>97</v>
      </c>
      <c r="L100" t="s">
        <v>445</v>
      </c>
      <c r="M100" s="29">
        <v>3.4819675925925925E-3</v>
      </c>
      <c r="N100" s="29">
        <v>3.5239583333333338E-3</v>
      </c>
    </row>
    <row r="101" spans="1:14" hidden="1" x14ac:dyDescent="0.3">
      <c r="A101">
        <v>98</v>
      </c>
      <c r="B101" t="s">
        <v>446</v>
      </c>
      <c r="C101" s="29">
        <v>3.5350810185185181E-3</v>
      </c>
      <c r="D101" s="29">
        <v>3.5524537037037039E-3</v>
      </c>
      <c r="E101" t="b">
        <f t="shared" si="1"/>
        <v>1</v>
      </c>
      <c r="K101">
        <v>98</v>
      </c>
      <c r="L101" t="s">
        <v>446</v>
      </c>
      <c r="M101" s="29">
        <v>3.5350694444444444E-3</v>
      </c>
      <c r="N101" s="29">
        <v>3.5524421296296294E-3</v>
      </c>
    </row>
    <row r="102" spans="1:14" hidden="1" x14ac:dyDescent="0.3">
      <c r="A102">
        <v>99</v>
      </c>
      <c r="B102" t="s">
        <v>447</v>
      </c>
      <c r="C102" s="29">
        <v>3.5645254629629634E-3</v>
      </c>
      <c r="D102" s="29">
        <v>3.5910763888888889E-3</v>
      </c>
      <c r="E102" t="b">
        <f t="shared" si="1"/>
        <v>1</v>
      </c>
      <c r="K102">
        <v>99</v>
      </c>
      <c r="L102" t="s">
        <v>447</v>
      </c>
      <c r="M102" s="29">
        <v>3.5645138888888888E-3</v>
      </c>
      <c r="N102" s="29">
        <v>3.589618055555556E-3</v>
      </c>
    </row>
    <row r="103" spans="1:14" hidden="1" x14ac:dyDescent="0.3">
      <c r="A103">
        <v>100</v>
      </c>
      <c r="B103" t="s">
        <v>411</v>
      </c>
      <c r="C103" s="29">
        <v>3.591550925925926E-3</v>
      </c>
      <c r="D103" s="29">
        <v>3.6195601851851853E-3</v>
      </c>
      <c r="E103" t="b">
        <f t="shared" si="1"/>
        <v>1</v>
      </c>
      <c r="K103">
        <v>100</v>
      </c>
      <c r="L103" t="s">
        <v>411</v>
      </c>
      <c r="M103" s="29">
        <v>3.591550925925926E-3</v>
      </c>
      <c r="N103" s="29">
        <v>3.6180902777777778E-3</v>
      </c>
    </row>
    <row r="104" spans="1:14" hidden="1" x14ac:dyDescent="0.3">
      <c r="A104">
        <v>101</v>
      </c>
      <c r="B104" t="s">
        <v>448</v>
      </c>
      <c r="C104" s="29">
        <v>3.6200347222222224E-3</v>
      </c>
      <c r="D104" s="29">
        <v>3.6393518518518519E-3</v>
      </c>
      <c r="E104" t="b">
        <f t="shared" si="1"/>
        <v>1</v>
      </c>
      <c r="K104">
        <v>101</v>
      </c>
      <c r="L104" t="s">
        <v>448</v>
      </c>
      <c r="M104" s="29">
        <v>3.6200231481481478E-3</v>
      </c>
      <c r="N104" s="29">
        <v>3.6378935185185186E-3</v>
      </c>
    </row>
    <row r="105" spans="1:14" hidden="1" x14ac:dyDescent="0.3">
      <c r="A105">
        <v>102</v>
      </c>
      <c r="B105" t="s">
        <v>449</v>
      </c>
      <c r="C105" s="29">
        <v>3.6398263888888886E-3</v>
      </c>
      <c r="D105" s="29">
        <v>3.6760300925925923E-3</v>
      </c>
      <c r="E105" t="b">
        <f t="shared" si="1"/>
        <v>1</v>
      </c>
      <c r="K105">
        <v>102</v>
      </c>
      <c r="L105" t="s">
        <v>449</v>
      </c>
      <c r="M105" s="29">
        <v>3.6398148148148149E-3</v>
      </c>
      <c r="N105" s="29">
        <v>3.6760185185185186E-3</v>
      </c>
    </row>
    <row r="106" spans="1:14" hidden="1" x14ac:dyDescent="0.3">
      <c r="A106">
        <v>103</v>
      </c>
      <c r="B106" t="s">
        <v>450</v>
      </c>
      <c r="C106" s="29">
        <v>3.6856944444444446E-3</v>
      </c>
      <c r="D106" s="29">
        <v>3.711273148148148E-3</v>
      </c>
      <c r="E106" t="b">
        <f t="shared" si="1"/>
        <v>1</v>
      </c>
      <c r="K106">
        <v>103</v>
      </c>
      <c r="L106" t="s">
        <v>450</v>
      </c>
      <c r="M106" s="29">
        <v>3.68568287037037E-3</v>
      </c>
      <c r="N106" s="29">
        <v>3.7098148148148151E-3</v>
      </c>
    </row>
    <row r="107" spans="1:14" hidden="1" x14ac:dyDescent="0.3">
      <c r="A107">
        <v>104</v>
      </c>
      <c r="B107" t="s">
        <v>451</v>
      </c>
      <c r="C107" s="29">
        <v>3.7117592592592597E-3</v>
      </c>
      <c r="D107" s="29">
        <v>3.7392708333333332E-3</v>
      </c>
      <c r="E107" t="b">
        <f t="shared" si="1"/>
        <v>1</v>
      </c>
      <c r="K107">
        <v>104</v>
      </c>
      <c r="L107" t="s">
        <v>451</v>
      </c>
      <c r="M107" s="29">
        <v>3.7117476851851851E-3</v>
      </c>
      <c r="N107" s="29">
        <v>3.7378124999999998E-3</v>
      </c>
    </row>
    <row r="108" spans="1:14" hidden="1" x14ac:dyDescent="0.3">
      <c r="A108">
        <v>105</v>
      </c>
      <c r="B108" t="s">
        <v>452</v>
      </c>
      <c r="C108" s="29">
        <v>3.7397569444444444E-3</v>
      </c>
      <c r="D108" s="29">
        <v>3.7774074074074073E-3</v>
      </c>
      <c r="E108" t="b">
        <f t="shared" si="1"/>
        <v>1</v>
      </c>
      <c r="K108">
        <v>105</v>
      </c>
      <c r="L108" t="s">
        <v>452</v>
      </c>
      <c r="M108" s="29">
        <v>3.7397453703703703E-3</v>
      </c>
      <c r="N108" s="29">
        <v>3.7773958333333336E-3</v>
      </c>
    </row>
    <row r="109" spans="1:14" hidden="1" x14ac:dyDescent="0.3">
      <c r="A109">
        <v>106</v>
      </c>
      <c r="B109" t="s">
        <v>453</v>
      </c>
      <c r="C109" s="29">
        <v>3.7904398148148151E-3</v>
      </c>
      <c r="D109" s="29">
        <v>3.8372685185185189E-3</v>
      </c>
      <c r="E109" t="b">
        <f t="shared" si="1"/>
        <v>1</v>
      </c>
      <c r="K109">
        <v>106</v>
      </c>
      <c r="L109" t="s">
        <v>453</v>
      </c>
      <c r="M109" s="29">
        <v>3.7904282407407405E-3</v>
      </c>
      <c r="N109" s="29">
        <v>3.8353240740740743E-3</v>
      </c>
    </row>
    <row r="110" spans="1:14" hidden="1" x14ac:dyDescent="0.3">
      <c r="A110">
        <v>107</v>
      </c>
      <c r="B110" t="s">
        <v>454</v>
      </c>
      <c r="C110" s="29">
        <v>3.8377546296296298E-3</v>
      </c>
      <c r="D110" s="29">
        <v>3.8884375E-3</v>
      </c>
      <c r="E110" t="b">
        <f t="shared" si="1"/>
        <v>1</v>
      </c>
      <c r="K110">
        <v>107</v>
      </c>
      <c r="L110" t="s">
        <v>454</v>
      </c>
      <c r="M110" s="29">
        <v>3.8377430555555556E-3</v>
      </c>
      <c r="N110" s="29">
        <v>3.8884259259259258E-3</v>
      </c>
    </row>
    <row r="111" spans="1:14" hidden="1" x14ac:dyDescent="0.3">
      <c r="A111">
        <v>108</v>
      </c>
      <c r="B111" t="s">
        <v>455</v>
      </c>
      <c r="C111" s="29">
        <v>3.9038888888888886E-3</v>
      </c>
      <c r="D111" s="29">
        <v>3.9362268518518522E-3</v>
      </c>
      <c r="E111" t="b">
        <f t="shared" si="1"/>
        <v>1</v>
      </c>
      <c r="K111">
        <v>108</v>
      </c>
      <c r="L111" t="s">
        <v>455</v>
      </c>
      <c r="M111" s="29">
        <v>3.9038773148148149E-3</v>
      </c>
      <c r="N111" s="29">
        <v>3.9347685185185189E-3</v>
      </c>
    </row>
    <row r="112" spans="1:14" hidden="1" x14ac:dyDescent="0.3">
      <c r="A112">
        <v>109</v>
      </c>
      <c r="B112" t="s">
        <v>456</v>
      </c>
      <c r="C112" s="29">
        <v>3.936712962962963E-3</v>
      </c>
      <c r="D112" s="29">
        <v>3.9676041666666662E-3</v>
      </c>
      <c r="E112" t="b">
        <f t="shared" si="1"/>
        <v>1</v>
      </c>
      <c r="K112">
        <v>109</v>
      </c>
      <c r="L112" t="s">
        <v>456</v>
      </c>
      <c r="M112" s="29">
        <v>3.9367013888888889E-3</v>
      </c>
      <c r="N112" s="29">
        <v>3.9675925925925929E-3</v>
      </c>
    </row>
    <row r="113" spans="1:15" x14ac:dyDescent="0.3">
      <c r="A113">
        <v>110</v>
      </c>
      <c r="B113" s="23" t="s">
        <v>457</v>
      </c>
      <c r="C113" s="29">
        <v>3.973402777777778E-3</v>
      </c>
      <c r="D113" s="29">
        <v>3.9946412037037034E-3</v>
      </c>
      <c r="E113" t="b">
        <f t="shared" si="1"/>
        <v>0</v>
      </c>
      <c r="K113">
        <v>110</v>
      </c>
      <c r="L113" s="23" t="s">
        <v>763</v>
      </c>
      <c r="M113" s="29">
        <v>3.9733912037037038E-3</v>
      </c>
      <c r="N113" s="29">
        <v>3.9946296296296301E-3</v>
      </c>
    </row>
    <row r="114" spans="1:15" hidden="1" x14ac:dyDescent="0.3">
      <c r="A114">
        <v>111</v>
      </c>
      <c r="B114" t="s">
        <v>458</v>
      </c>
      <c r="C114" s="29">
        <v>4.006226851851852E-3</v>
      </c>
      <c r="D114" s="29">
        <v>4.0197453703703706E-3</v>
      </c>
      <c r="E114" t="b">
        <f t="shared" si="1"/>
        <v>1</v>
      </c>
      <c r="K114">
        <v>111</v>
      </c>
      <c r="L114" t="s">
        <v>458</v>
      </c>
      <c r="M114" s="29">
        <v>4.0062152777777778E-3</v>
      </c>
      <c r="N114" s="29">
        <v>4.0182870370370372E-3</v>
      </c>
    </row>
    <row r="115" spans="1:15" hidden="1" x14ac:dyDescent="0.3">
      <c r="A115">
        <v>112</v>
      </c>
      <c r="B115" t="s">
        <v>459</v>
      </c>
      <c r="C115" s="29">
        <v>4.0202199074074072E-3</v>
      </c>
      <c r="D115" s="29">
        <v>4.046296296296297E-3</v>
      </c>
      <c r="E115" t="b">
        <f t="shared" si="1"/>
        <v>1</v>
      </c>
      <c r="K115">
        <v>112</v>
      </c>
      <c r="L115" t="s">
        <v>459</v>
      </c>
      <c r="M115" s="29">
        <v>4.0202083333333331E-3</v>
      </c>
      <c r="N115" s="29">
        <v>4.0448379629629628E-3</v>
      </c>
    </row>
    <row r="116" spans="1:15" hidden="1" x14ac:dyDescent="0.3">
      <c r="A116">
        <v>113</v>
      </c>
      <c r="B116" t="s">
        <v>460</v>
      </c>
      <c r="C116" s="29">
        <v>4.0467708333333336E-3</v>
      </c>
      <c r="D116" s="29">
        <v>4.0598148148148156E-3</v>
      </c>
      <c r="E116" t="b">
        <f t="shared" si="1"/>
        <v>1</v>
      </c>
      <c r="K116">
        <v>113</v>
      </c>
      <c r="L116" t="s">
        <v>460</v>
      </c>
      <c r="M116" s="29">
        <v>4.0467592592592595E-3</v>
      </c>
      <c r="N116" s="29">
        <v>4.0583449074074072E-3</v>
      </c>
    </row>
    <row r="117" spans="1:15" x14ac:dyDescent="0.3">
      <c r="A117">
        <v>114</v>
      </c>
      <c r="B117" s="23" t="s">
        <v>461</v>
      </c>
      <c r="C117" s="29">
        <v>4.0602893518518514E-3</v>
      </c>
      <c r="D117" s="29">
        <v>4.0873263888888886E-3</v>
      </c>
      <c r="E117" t="b">
        <f t="shared" si="1"/>
        <v>0</v>
      </c>
      <c r="K117">
        <v>114</v>
      </c>
      <c r="L117" s="23" t="s">
        <v>764</v>
      </c>
      <c r="M117" s="29">
        <v>4.0602777777777781E-3</v>
      </c>
      <c r="N117" s="29">
        <v>4.0873148148148145E-3</v>
      </c>
    </row>
    <row r="118" spans="1:15" hidden="1" x14ac:dyDescent="0.3">
      <c r="A118">
        <v>115</v>
      </c>
      <c r="B118" t="s">
        <v>462</v>
      </c>
      <c r="C118" s="29">
        <v>4.0940856481481479E-3</v>
      </c>
      <c r="D118" s="29">
        <v>4.1172569444444442E-3</v>
      </c>
      <c r="E118" t="b">
        <f t="shared" si="1"/>
        <v>1</v>
      </c>
      <c r="K118">
        <v>115</v>
      </c>
      <c r="L118" t="s">
        <v>462</v>
      </c>
      <c r="M118" s="29">
        <v>4.0940740740740738E-3</v>
      </c>
      <c r="N118" s="29">
        <v>4.1172453703703709E-3</v>
      </c>
    </row>
    <row r="119" spans="1:15" x14ac:dyDescent="0.3">
      <c r="A119" t="s">
        <v>340</v>
      </c>
      <c r="B119" s="23" t="s">
        <v>463</v>
      </c>
      <c r="C119" s="29">
        <v>4.4286226851851847E-3</v>
      </c>
      <c r="D119" s="29">
        <v>4.4517939814814811E-3</v>
      </c>
      <c r="E119" t="b">
        <f t="shared" si="1"/>
        <v>0</v>
      </c>
      <c r="F119" t="b">
        <v>1</v>
      </c>
      <c r="K119">
        <v>116</v>
      </c>
      <c r="L119" s="23" t="s">
        <v>765</v>
      </c>
      <c r="M119" s="29">
        <v>4.4286111111111115E-3</v>
      </c>
      <c r="N119" s="29">
        <v>4.4503356481481486E-3</v>
      </c>
      <c r="O119" t="b">
        <v>0</v>
      </c>
    </row>
    <row r="120" spans="1:15" hidden="1" x14ac:dyDescent="0.3">
      <c r="A120">
        <v>117</v>
      </c>
      <c r="B120" t="s">
        <v>464</v>
      </c>
      <c r="C120" s="29">
        <v>4.4522685185185186E-3</v>
      </c>
      <c r="D120" s="29">
        <v>4.4923379629629627E-3</v>
      </c>
      <c r="E120" t="b">
        <f t="shared" si="1"/>
        <v>1</v>
      </c>
      <c r="K120">
        <v>117</v>
      </c>
      <c r="L120" t="s">
        <v>464</v>
      </c>
      <c r="M120" s="29">
        <v>4.4522569444444444E-3</v>
      </c>
      <c r="N120" s="29">
        <v>4.4923263888888886E-3</v>
      </c>
    </row>
    <row r="121" spans="1:15" hidden="1" x14ac:dyDescent="0.3">
      <c r="A121">
        <v>118</v>
      </c>
      <c r="B121" t="s">
        <v>465</v>
      </c>
      <c r="C121" s="29">
        <v>4.5024768518518521E-3</v>
      </c>
      <c r="D121" s="29">
        <v>4.5251620370370367E-3</v>
      </c>
      <c r="E121" t="b">
        <f t="shared" si="1"/>
        <v>1</v>
      </c>
      <c r="K121">
        <v>118</v>
      </c>
      <c r="L121" t="s">
        <v>465</v>
      </c>
      <c r="M121" s="29">
        <v>4.5024652777777771E-3</v>
      </c>
      <c r="N121" s="29">
        <v>4.5251504629629635E-3</v>
      </c>
    </row>
    <row r="122" spans="1:15" ht="28.8" x14ac:dyDescent="0.3">
      <c r="A122">
        <v>119</v>
      </c>
      <c r="B122" s="23" t="s">
        <v>466</v>
      </c>
      <c r="C122" s="29">
        <v>4.5309606481481485E-3</v>
      </c>
      <c r="D122" s="29">
        <v>4.5647453703703701E-3</v>
      </c>
      <c r="E122" t="b">
        <f t="shared" si="1"/>
        <v>0</v>
      </c>
      <c r="F122" t="b">
        <v>0</v>
      </c>
      <c r="K122">
        <v>119</v>
      </c>
      <c r="L122" s="23" t="s">
        <v>766</v>
      </c>
      <c r="M122" s="29">
        <v>4.5309490740740735E-3</v>
      </c>
      <c r="N122" s="29">
        <v>4.5632870370370376E-3</v>
      </c>
      <c r="O122" t="b">
        <v>1</v>
      </c>
    </row>
    <row r="123" spans="1:15" hidden="1" x14ac:dyDescent="0.3">
      <c r="A123">
        <v>120</v>
      </c>
      <c r="B123" t="s">
        <v>467</v>
      </c>
      <c r="C123" s="29">
        <v>4.5652314814814809E-3</v>
      </c>
      <c r="D123" s="29">
        <v>4.5932291666666665E-3</v>
      </c>
      <c r="E123" t="b">
        <f t="shared" si="1"/>
        <v>1</v>
      </c>
      <c r="K123">
        <v>120</v>
      </c>
      <c r="L123" t="s">
        <v>467</v>
      </c>
      <c r="M123" s="29">
        <v>4.5652199074074076E-3</v>
      </c>
      <c r="N123" s="29">
        <v>4.5932175925925923E-3</v>
      </c>
    </row>
    <row r="124" spans="1:15" hidden="1" x14ac:dyDescent="0.3">
      <c r="A124">
        <v>121</v>
      </c>
      <c r="B124" t="s">
        <v>468</v>
      </c>
      <c r="C124" s="29">
        <v>4.5995023148148149E-3</v>
      </c>
      <c r="D124" s="29">
        <v>4.6130208333333336E-3</v>
      </c>
      <c r="E124" t="b">
        <f t="shared" si="1"/>
        <v>1</v>
      </c>
      <c r="K124">
        <v>121</v>
      </c>
      <c r="L124" t="s">
        <v>468</v>
      </c>
      <c r="M124" s="29">
        <v>4.5994907407407408E-3</v>
      </c>
      <c r="N124" s="29">
        <v>4.6115625000000002E-3</v>
      </c>
    </row>
    <row r="125" spans="1:15" x14ac:dyDescent="0.3">
      <c r="A125">
        <v>122</v>
      </c>
      <c r="B125" s="23" t="s">
        <v>469</v>
      </c>
      <c r="C125" s="29">
        <v>4.6135069444444444E-3</v>
      </c>
      <c r="D125" s="29">
        <v>4.6424768518518516E-3</v>
      </c>
      <c r="E125" t="b">
        <f t="shared" si="1"/>
        <v>0</v>
      </c>
      <c r="F125" t="b">
        <v>0</v>
      </c>
      <c r="K125">
        <v>122</v>
      </c>
      <c r="L125" s="23" t="s">
        <v>767</v>
      </c>
      <c r="M125" s="29">
        <v>4.6134953703703702E-3</v>
      </c>
      <c r="N125" s="29">
        <v>4.6410069444444441E-3</v>
      </c>
      <c r="O125" t="b">
        <v>1</v>
      </c>
    </row>
    <row r="126" spans="1:15" hidden="1" x14ac:dyDescent="0.3">
      <c r="A126">
        <v>123</v>
      </c>
      <c r="B126" t="s">
        <v>470</v>
      </c>
      <c r="C126" s="29">
        <v>4.6429513888888892E-3</v>
      </c>
      <c r="D126" s="29">
        <v>4.6680555555555555E-3</v>
      </c>
      <c r="E126" t="b">
        <f t="shared" si="1"/>
        <v>1</v>
      </c>
      <c r="K126">
        <v>123</v>
      </c>
      <c r="L126" t="s">
        <v>470</v>
      </c>
      <c r="M126" s="29">
        <v>4.6429398148148142E-3</v>
      </c>
      <c r="N126" s="29">
        <v>4.6665972222222222E-3</v>
      </c>
    </row>
    <row r="127" spans="1:15" hidden="1" x14ac:dyDescent="0.3">
      <c r="A127">
        <v>124</v>
      </c>
      <c r="B127" t="s">
        <v>471</v>
      </c>
      <c r="C127" s="29">
        <v>4.6685416666666672E-3</v>
      </c>
      <c r="D127" s="29">
        <v>4.6888194444444442E-3</v>
      </c>
      <c r="E127" t="b">
        <f t="shared" si="1"/>
        <v>1</v>
      </c>
      <c r="K127">
        <v>124</v>
      </c>
      <c r="L127" t="s">
        <v>471</v>
      </c>
      <c r="M127" s="29">
        <v>4.6685300925925922E-3</v>
      </c>
      <c r="N127" s="29">
        <v>4.6873495370370376E-3</v>
      </c>
    </row>
    <row r="128" spans="1:15" hidden="1" x14ac:dyDescent="0.3">
      <c r="A128">
        <v>125</v>
      </c>
      <c r="B128" t="s">
        <v>472</v>
      </c>
      <c r="C128" s="29">
        <v>4.6892939814814809E-3</v>
      </c>
      <c r="D128" s="29">
        <v>4.7264699074074075E-3</v>
      </c>
      <c r="E128" t="b">
        <f t="shared" si="1"/>
        <v>1</v>
      </c>
      <c r="K128">
        <v>125</v>
      </c>
      <c r="L128" t="s">
        <v>472</v>
      </c>
      <c r="M128" s="29">
        <v>4.6892824074074076E-3</v>
      </c>
      <c r="N128" s="29">
        <v>4.7264583333333334E-3</v>
      </c>
    </row>
    <row r="129" spans="1:14" ht="28.8" x14ac:dyDescent="0.3">
      <c r="A129">
        <v>126</v>
      </c>
      <c r="B129" s="23" t="s">
        <v>473</v>
      </c>
      <c r="C129" s="29">
        <v>4.7370833333333336E-3</v>
      </c>
      <c r="D129" s="29">
        <v>4.7776388888888894E-3</v>
      </c>
      <c r="E129" t="b">
        <f t="shared" si="1"/>
        <v>0</v>
      </c>
      <c r="K129">
        <v>126</v>
      </c>
      <c r="L129" s="23" t="s">
        <v>768</v>
      </c>
      <c r="M129" s="29">
        <v>4.7370717592592594E-3</v>
      </c>
      <c r="N129" s="29">
        <v>4.7776273148148144E-3</v>
      </c>
    </row>
    <row r="130" spans="1:14" hidden="1" x14ac:dyDescent="0.3">
      <c r="A130">
        <v>127</v>
      </c>
      <c r="B130" t="s">
        <v>458</v>
      </c>
      <c r="C130" s="29">
        <v>4.7901851851851855E-3</v>
      </c>
      <c r="D130" s="29">
        <v>4.807569444444445E-3</v>
      </c>
      <c r="E130" t="b">
        <f t="shared" si="1"/>
        <v>1</v>
      </c>
      <c r="K130">
        <v>127</v>
      </c>
      <c r="L130" t="s">
        <v>458</v>
      </c>
      <c r="M130" s="29">
        <v>4.7901736111111105E-3</v>
      </c>
      <c r="N130" s="29">
        <v>4.80755787037037E-3</v>
      </c>
    </row>
    <row r="131" spans="1:14" hidden="1" x14ac:dyDescent="0.3">
      <c r="A131">
        <v>128</v>
      </c>
      <c r="B131" t="s">
        <v>474</v>
      </c>
      <c r="C131" s="29">
        <v>4.8191550925925928E-3</v>
      </c>
      <c r="D131" s="29">
        <v>4.8350810185185181E-3</v>
      </c>
      <c r="E131" t="b">
        <f t="shared" si="1"/>
        <v>1</v>
      </c>
      <c r="K131">
        <v>128</v>
      </c>
      <c r="L131" t="s">
        <v>474</v>
      </c>
      <c r="M131" s="29">
        <v>4.8191435185185186E-3</v>
      </c>
      <c r="N131" s="29">
        <v>4.8336226851851856E-3</v>
      </c>
    </row>
    <row r="132" spans="1:14" ht="28.8" x14ac:dyDescent="0.3">
      <c r="A132">
        <v>129</v>
      </c>
      <c r="B132" s="23" t="s">
        <v>475</v>
      </c>
      <c r="C132" s="29">
        <v>4.8355671296296298E-3</v>
      </c>
      <c r="D132" s="29">
        <v>4.8732175925925922E-3</v>
      </c>
      <c r="E132" t="b">
        <f t="shared" ref="E132:E195" si="2">B132=L132</f>
        <v>0</v>
      </c>
      <c r="K132">
        <v>129</v>
      </c>
      <c r="L132" s="23" t="s">
        <v>769</v>
      </c>
      <c r="M132" s="29">
        <v>4.8355555555555556E-3</v>
      </c>
      <c r="N132" s="29">
        <v>4.8732060185185189E-3</v>
      </c>
    </row>
    <row r="133" spans="1:14" hidden="1" x14ac:dyDescent="0.3">
      <c r="A133">
        <v>130</v>
      </c>
      <c r="B133" t="s">
        <v>476</v>
      </c>
      <c r="C133" s="29">
        <v>4.8819097222222224E-3</v>
      </c>
      <c r="D133" s="29">
        <v>4.8992824074074078E-3</v>
      </c>
      <c r="E133" t="b">
        <f t="shared" si="2"/>
        <v>1</v>
      </c>
      <c r="K133">
        <v>130</v>
      </c>
      <c r="L133" t="s">
        <v>476</v>
      </c>
      <c r="M133" s="29">
        <v>4.8818981481481482E-3</v>
      </c>
      <c r="N133" s="29">
        <v>4.8978240740740744E-3</v>
      </c>
    </row>
    <row r="134" spans="1:14" ht="28.8" x14ac:dyDescent="0.3">
      <c r="A134">
        <v>131</v>
      </c>
      <c r="B134" s="23" t="s">
        <v>477</v>
      </c>
      <c r="C134" s="29">
        <v>4.8997685185185186E-3</v>
      </c>
      <c r="D134" s="29">
        <v>4.9393518518518519E-3</v>
      </c>
      <c r="E134" t="b">
        <f t="shared" si="2"/>
        <v>0</v>
      </c>
      <c r="K134">
        <v>131</v>
      </c>
      <c r="L134" s="23" t="s">
        <v>770</v>
      </c>
      <c r="M134" s="29">
        <v>4.8997569444444444E-3</v>
      </c>
      <c r="N134" s="29">
        <v>4.9378935185185185E-3</v>
      </c>
    </row>
    <row r="135" spans="1:14" ht="28.8" x14ac:dyDescent="0.3">
      <c r="A135">
        <v>132</v>
      </c>
      <c r="B135" s="23" t="s">
        <v>478</v>
      </c>
      <c r="C135" s="29">
        <v>4.9398379629629636E-3</v>
      </c>
      <c r="D135" s="29">
        <v>4.9789351851851852E-3</v>
      </c>
      <c r="E135" t="b">
        <f t="shared" si="2"/>
        <v>0</v>
      </c>
      <c r="K135">
        <v>132</v>
      </c>
      <c r="L135" s="23" t="s">
        <v>771</v>
      </c>
      <c r="M135" s="29">
        <v>4.9398263888888886E-3</v>
      </c>
      <c r="N135" s="29">
        <v>4.978923611111111E-3</v>
      </c>
    </row>
    <row r="136" spans="1:14" hidden="1" x14ac:dyDescent="0.3">
      <c r="A136">
        <v>133</v>
      </c>
      <c r="B136" t="s">
        <v>479</v>
      </c>
      <c r="C136" s="29">
        <v>4.9856944444444445E-3</v>
      </c>
      <c r="D136" s="29">
        <v>5.0035532407407407E-3</v>
      </c>
      <c r="E136" t="b">
        <f t="shared" si="2"/>
        <v>1</v>
      </c>
      <c r="K136">
        <v>133</v>
      </c>
      <c r="L136" t="s">
        <v>479</v>
      </c>
      <c r="M136" s="29">
        <v>4.9856828703703704E-3</v>
      </c>
      <c r="N136" s="29">
        <v>5.0020949074074074E-3</v>
      </c>
    </row>
    <row r="137" spans="1:14" hidden="1" x14ac:dyDescent="0.3">
      <c r="A137">
        <v>134</v>
      </c>
      <c r="B137" t="s">
        <v>480</v>
      </c>
      <c r="C137" s="29">
        <v>5.0040393518518515E-3</v>
      </c>
      <c r="D137" s="29">
        <v>5.0474884259259258E-3</v>
      </c>
      <c r="E137" t="b">
        <f t="shared" si="2"/>
        <v>1</v>
      </c>
      <c r="K137">
        <v>134</v>
      </c>
      <c r="L137" t="s">
        <v>480</v>
      </c>
      <c r="M137" s="29">
        <v>5.0040277777777782E-3</v>
      </c>
      <c r="N137" s="29">
        <v>5.0460300925925924E-3</v>
      </c>
    </row>
    <row r="138" spans="1:14" hidden="1" x14ac:dyDescent="0.3">
      <c r="A138">
        <v>135</v>
      </c>
      <c r="B138" t="s">
        <v>481</v>
      </c>
      <c r="C138" s="29">
        <v>5.0479745370370366E-3</v>
      </c>
      <c r="D138" s="29">
        <v>5.0962384259259259E-3</v>
      </c>
      <c r="E138" t="b">
        <f t="shared" si="2"/>
        <v>1</v>
      </c>
      <c r="K138">
        <v>135</v>
      </c>
      <c r="L138" t="s">
        <v>481</v>
      </c>
      <c r="M138" s="29">
        <v>5.0479629629629633E-3</v>
      </c>
      <c r="N138" s="29">
        <v>5.0947800925925926E-3</v>
      </c>
    </row>
    <row r="139" spans="1:14" hidden="1" x14ac:dyDescent="0.3">
      <c r="A139">
        <v>136</v>
      </c>
      <c r="B139" t="s">
        <v>482</v>
      </c>
      <c r="C139" s="29">
        <v>5.0967245370370368E-3</v>
      </c>
      <c r="D139" s="29">
        <v>5.1300347222222225E-3</v>
      </c>
      <c r="E139" t="b">
        <f t="shared" si="2"/>
        <v>1</v>
      </c>
      <c r="K139">
        <v>136</v>
      </c>
      <c r="L139" t="s">
        <v>482</v>
      </c>
      <c r="M139" s="29">
        <v>5.0967129629629626E-3</v>
      </c>
      <c r="N139" s="29">
        <v>5.1285763888888882E-3</v>
      </c>
    </row>
    <row r="140" spans="1:14" hidden="1" x14ac:dyDescent="0.3">
      <c r="A140">
        <v>137</v>
      </c>
      <c r="B140" t="s">
        <v>483</v>
      </c>
      <c r="C140" s="29">
        <v>5.1305208333333333E-3</v>
      </c>
      <c r="D140" s="29">
        <v>5.1512731481481479E-3</v>
      </c>
      <c r="E140" t="b">
        <f t="shared" si="2"/>
        <v>1</v>
      </c>
      <c r="K140">
        <v>137</v>
      </c>
      <c r="L140" t="s">
        <v>483</v>
      </c>
      <c r="M140" s="29">
        <v>5.1305092592592591E-3</v>
      </c>
      <c r="N140" s="29">
        <v>5.1512615740740746E-3</v>
      </c>
    </row>
    <row r="141" spans="1:14" x14ac:dyDescent="0.3">
      <c r="A141">
        <v>138</v>
      </c>
      <c r="B141" s="23" t="s">
        <v>484</v>
      </c>
      <c r="C141" s="29">
        <v>5.1643055555555557E-3</v>
      </c>
      <c r="D141" s="29">
        <v>5.1855439814814819E-3</v>
      </c>
      <c r="E141" t="b">
        <f t="shared" si="2"/>
        <v>0</v>
      </c>
      <c r="K141">
        <v>138</v>
      </c>
      <c r="L141" s="23" t="s">
        <v>772</v>
      </c>
      <c r="M141" s="29">
        <v>5.1642939814814815E-3</v>
      </c>
      <c r="N141" s="29">
        <v>5.1840856481481477E-3</v>
      </c>
    </row>
    <row r="142" spans="1:14" hidden="1" x14ac:dyDescent="0.3">
      <c r="A142">
        <v>139</v>
      </c>
      <c r="B142" t="s">
        <v>485</v>
      </c>
      <c r="C142" s="29">
        <v>5.1860300925925928E-3</v>
      </c>
      <c r="D142" s="29">
        <v>5.2067939814814815E-3</v>
      </c>
      <c r="E142" t="b">
        <f t="shared" si="2"/>
        <v>1</v>
      </c>
      <c r="K142">
        <v>139</v>
      </c>
      <c r="L142" t="s">
        <v>485</v>
      </c>
      <c r="M142" s="29">
        <v>5.1860185185185186E-3</v>
      </c>
      <c r="N142" s="29">
        <v>5.205324074074074E-3</v>
      </c>
    </row>
    <row r="143" spans="1:14" hidden="1" x14ac:dyDescent="0.3">
      <c r="A143">
        <v>140</v>
      </c>
      <c r="B143" t="s">
        <v>486</v>
      </c>
      <c r="C143" s="29">
        <v>5.2072685185185191E-3</v>
      </c>
      <c r="D143" s="29">
        <v>5.2318865740740737E-3</v>
      </c>
      <c r="E143" t="b">
        <f t="shared" si="2"/>
        <v>1</v>
      </c>
      <c r="K143">
        <v>140</v>
      </c>
      <c r="L143" t="s">
        <v>486</v>
      </c>
      <c r="M143" s="29">
        <v>5.207256944444444E-3</v>
      </c>
      <c r="N143" s="29">
        <v>5.2318749999999995E-3</v>
      </c>
    </row>
    <row r="144" spans="1:14" x14ac:dyDescent="0.3">
      <c r="A144">
        <v>141</v>
      </c>
      <c r="B144" s="23" t="s">
        <v>487</v>
      </c>
      <c r="C144" s="29">
        <v>5.2420254629629631E-3</v>
      </c>
      <c r="D144" s="29">
        <v>5.2627893518518518E-3</v>
      </c>
      <c r="E144" t="b">
        <f t="shared" si="2"/>
        <v>0</v>
      </c>
      <c r="K144">
        <v>141</v>
      </c>
      <c r="L144" s="23" t="s">
        <v>773</v>
      </c>
      <c r="M144" s="29">
        <v>5.2420138888888889E-3</v>
      </c>
      <c r="N144" s="29">
        <v>5.2627777777777777E-3</v>
      </c>
    </row>
    <row r="145" spans="1:14" hidden="1" x14ac:dyDescent="0.3">
      <c r="A145">
        <v>142</v>
      </c>
      <c r="B145" t="s">
        <v>488</v>
      </c>
      <c r="C145" s="29">
        <v>5.2792013888888888E-3</v>
      </c>
      <c r="D145" s="29">
        <v>5.3274768518518515E-3</v>
      </c>
      <c r="E145" t="b">
        <f t="shared" si="2"/>
        <v>1</v>
      </c>
      <c r="K145">
        <v>142</v>
      </c>
      <c r="L145" t="s">
        <v>488</v>
      </c>
      <c r="M145" s="29">
        <v>5.2791898148148147E-3</v>
      </c>
      <c r="N145" s="29">
        <v>5.326018518518519E-3</v>
      </c>
    </row>
    <row r="146" spans="1:14" hidden="1" x14ac:dyDescent="0.3">
      <c r="A146">
        <v>143</v>
      </c>
      <c r="B146" t="s">
        <v>489</v>
      </c>
      <c r="C146" s="29">
        <v>5.327951388888889E-3</v>
      </c>
      <c r="D146" s="29">
        <v>5.3593287037037038E-3</v>
      </c>
      <c r="E146" t="b">
        <f t="shared" si="2"/>
        <v>1</v>
      </c>
      <c r="K146">
        <v>143</v>
      </c>
      <c r="L146" t="s">
        <v>489</v>
      </c>
      <c r="M146" s="29">
        <v>5.3279398148148149E-3</v>
      </c>
      <c r="N146" s="29">
        <v>5.3578703703703705E-3</v>
      </c>
    </row>
    <row r="147" spans="1:14" hidden="1" x14ac:dyDescent="0.3">
      <c r="A147">
        <v>144</v>
      </c>
      <c r="B147" t="s">
        <v>490</v>
      </c>
      <c r="C147" s="29">
        <v>5.3598148148148146E-3</v>
      </c>
      <c r="D147" s="29">
        <v>5.3984375000000005E-3</v>
      </c>
      <c r="E147" t="b">
        <f t="shared" si="2"/>
        <v>1</v>
      </c>
      <c r="K147">
        <v>144</v>
      </c>
      <c r="L147" t="s">
        <v>490</v>
      </c>
      <c r="M147" s="29">
        <v>5.3598032407407405E-3</v>
      </c>
      <c r="N147" s="29">
        <v>5.3969791666666662E-3</v>
      </c>
    </row>
    <row r="148" spans="1:14" hidden="1" x14ac:dyDescent="0.3">
      <c r="A148">
        <v>145</v>
      </c>
      <c r="B148" t="s">
        <v>491</v>
      </c>
      <c r="C148" s="29">
        <v>5.3989120370370371E-3</v>
      </c>
      <c r="D148" s="29">
        <v>5.4259490740740744E-3</v>
      </c>
      <c r="E148" t="b">
        <f t="shared" si="2"/>
        <v>1</v>
      </c>
      <c r="K148">
        <v>145</v>
      </c>
      <c r="L148" t="s">
        <v>491</v>
      </c>
      <c r="M148" s="29">
        <v>5.3989120370370371E-3</v>
      </c>
      <c r="N148" s="29">
        <v>5.424490740740741E-3</v>
      </c>
    </row>
    <row r="149" spans="1:14" hidden="1" x14ac:dyDescent="0.3">
      <c r="A149">
        <v>146</v>
      </c>
      <c r="B149" t="s">
        <v>492</v>
      </c>
      <c r="C149" s="29">
        <v>5.4264351851851852E-3</v>
      </c>
      <c r="D149" s="29">
        <v>5.450567129629629E-3</v>
      </c>
      <c r="E149" t="b">
        <f t="shared" si="2"/>
        <v>1</v>
      </c>
      <c r="K149">
        <v>146</v>
      </c>
      <c r="L149" t="s">
        <v>492</v>
      </c>
      <c r="M149" s="29">
        <v>5.426423611111111E-3</v>
      </c>
      <c r="N149" s="29">
        <v>5.4491087962962965E-3</v>
      </c>
    </row>
    <row r="150" spans="1:14" hidden="1" x14ac:dyDescent="0.3">
      <c r="A150">
        <v>147</v>
      </c>
      <c r="B150" t="s">
        <v>493</v>
      </c>
      <c r="C150" s="29">
        <v>5.4510532407407407E-3</v>
      </c>
      <c r="D150" s="29">
        <v>5.4766435185185187E-3</v>
      </c>
      <c r="E150" t="b">
        <f t="shared" si="2"/>
        <v>1</v>
      </c>
      <c r="K150">
        <v>147</v>
      </c>
      <c r="L150" t="s">
        <v>493</v>
      </c>
      <c r="M150" s="29">
        <v>5.4510416666666674E-3</v>
      </c>
      <c r="N150" s="29">
        <v>5.4751736111111112E-3</v>
      </c>
    </row>
    <row r="151" spans="1:14" hidden="1" x14ac:dyDescent="0.3">
      <c r="A151">
        <v>148</v>
      </c>
      <c r="B151" t="s">
        <v>494</v>
      </c>
      <c r="C151" s="29">
        <v>5.4771180555555554E-3</v>
      </c>
      <c r="D151" s="29">
        <v>5.5089814814814819E-3</v>
      </c>
      <c r="E151" t="b">
        <f t="shared" si="2"/>
        <v>1</v>
      </c>
      <c r="K151">
        <v>148</v>
      </c>
      <c r="L151" t="s">
        <v>494</v>
      </c>
      <c r="M151" s="29">
        <v>5.4771064814814812E-3</v>
      </c>
      <c r="N151" s="29">
        <v>5.5075231481481485E-3</v>
      </c>
    </row>
    <row r="152" spans="1:14" hidden="1" x14ac:dyDescent="0.3">
      <c r="A152">
        <v>149</v>
      </c>
      <c r="B152" t="s">
        <v>495</v>
      </c>
      <c r="C152" s="29">
        <v>5.5094675925925927E-3</v>
      </c>
      <c r="D152" s="29">
        <v>5.5321527777777782E-3</v>
      </c>
      <c r="E152" t="b">
        <f t="shared" si="2"/>
        <v>1</v>
      </c>
      <c r="K152">
        <v>149</v>
      </c>
      <c r="L152" t="s">
        <v>495</v>
      </c>
      <c r="M152" s="29">
        <v>5.5094560185185186E-3</v>
      </c>
      <c r="N152" s="29">
        <v>5.530694444444444E-3</v>
      </c>
    </row>
    <row r="153" spans="1:14" hidden="1" x14ac:dyDescent="0.3">
      <c r="A153">
        <v>150</v>
      </c>
      <c r="B153" t="s">
        <v>496</v>
      </c>
      <c r="C153" s="29">
        <v>5.532638888888889E-3</v>
      </c>
      <c r="D153" s="29">
        <v>5.556284722222222E-3</v>
      </c>
      <c r="E153" t="b">
        <f t="shared" si="2"/>
        <v>1</v>
      </c>
      <c r="K153">
        <v>150</v>
      </c>
      <c r="L153" t="s">
        <v>496</v>
      </c>
      <c r="M153" s="29">
        <v>5.5326273148148149E-3</v>
      </c>
      <c r="N153" s="29">
        <v>5.5548263888888887E-3</v>
      </c>
    </row>
    <row r="154" spans="1:14" hidden="1" x14ac:dyDescent="0.3">
      <c r="A154">
        <v>151</v>
      </c>
      <c r="B154" t="s">
        <v>497</v>
      </c>
      <c r="C154" s="29">
        <v>5.5567708333333337E-3</v>
      </c>
      <c r="D154" s="29">
        <v>5.604085648148148E-3</v>
      </c>
      <c r="E154" t="b">
        <f t="shared" si="2"/>
        <v>1</v>
      </c>
      <c r="K154">
        <v>151</v>
      </c>
      <c r="L154" t="s">
        <v>497</v>
      </c>
      <c r="M154" s="29">
        <v>5.5567592592592587E-3</v>
      </c>
      <c r="N154" s="29">
        <v>5.6040740740740738E-3</v>
      </c>
    </row>
    <row r="155" spans="1:14" hidden="1" x14ac:dyDescent="0.3">
      <c r="A155">
        <v>152</v>
      </c>
      <c r="B155" t="s">
        <v>498</v>
      </c>
      <c r="C155" s="29">
        <v>5.6306250000000002E-3</v>
      </c>
      <c r="D155" s="29">
        <v>5.647523148148148E-3</v>
      </c>
      <c r="E155" t="b">
        <f t="shared" si="2"/>
        <v>1</v>
      </c>
      <c r="K155">
        <v>152</v>
      </c>
      <c r="L155" t="s">
        <v>498</v>
      </c>
      <c r="M155" s="29">
        <v>5.6306250000000002E-3</v>
      </c>
      <c r="N155" s="29">
        <v>5.6460648148148147E-3</v>
      </c>
    </row>
    <row r="156" spans="1:14" hidden="1" x14ac:dyDescent="0.3">
      <c r="A156">
        <v>153</v>
      </c>
      <c r="B156" t="s">
        <v>499</v>
      </c>
      <c r="C156" s="29">
        <v>5.6480092592592589E-3</v>
      </c>
      <c r="D156" s="29">
        <v>5.6692476851851852E-3</v>
      </c>
      <c r="E156" t="b">
        <f t="shared" si="2"/>
        <v>1</v>
      </c>
      <c r="K156">
        <v>153</v>
      </c>
      <c r="L156" t="s">
        <v>499</v>
      </c>
      <c r="M156" s="29">
        <v>5.6479976851851856E-3</v>
      </c>
      <c r="N156" s="29">
        <v>5.669236111111111E-3</v>
      </c>
    </row>
    <row r="157" spans="1:14" hidden="1" x14ac:dyDescent="0.3">
      <c r="A157">
        <v>154</v>
      </c>
      <c r="B157" t="s">
        <v>500</v>
      </c>
      <c r="C157" s="29">
        <v>5.6967708333333332E-3</v>
      </c>
      <c r="D157" s="29">
        <v>5.7141435185185186E-3</v>
      </c>
      <c r="E157" t="b">
        <f t="shared" si="2"/>
        <v>1</v>
      </c>
      <c r="K157">
        <v>154</v>
      </c>
      <c r="L157" t="s">
        <v>500</v>
      </c>
      <c r="M157" s="29">
        <v>5.6967592592592591E-3</v>
      </c>
      <c r="N157" s="29">
        <v>5.7141319444444444E-3</v>
      </c>
    </row>
    <row r="158" spans="1:14" hidden="1" x14ac:dyDescent="0.3">
      <c r="A158">
        <v>155</v>
      </c>
      <c r="B158" t="s">
        <v>501</v>
      </c>
      <c r="C158" s="29">
        <v>5.9193055555555553E-3</v>
      </c>
      <c r="D158" s="29">
        <v>5.9439236111111108E-3</v>
      </c>
      <c r="E158" t="b">
        <f t="shared" si="2"/>
        <v>1</v>
      </c>
      <c r="K158">
        <v>155</v>
      </c>
      <c r="L158" t="s">
        <v>501</v>
      </c>
      <c r="M158" s="29">
        <v>5.919293981481482E-3</v>
      </c>
      <c r="N158" s="29">
        <v>5.9439120370370366E-3</v>
      </c>
    </row>
    <row r="159" spans="1:14" hidden="1" x14ac:dyDescent="0.3">
      <c r="A159">
        <v>156</v>
      </c>
      <c r="B159" t="s">
        <v>502</v>
      </c>
      <c r="C159" s="29">
        <v>5.9579282407407402E-3</v>
      </c>
      <c r="D159" s="29">
        <v>5.9738541666666664E-3</v>
      </c>
      <c r="E159" t="b">
        <f t="shared" si="2"/>
        <v>1</v>
      </c>
      <c r="K159">
        <v>156</v>
      </c>
      <c r="L159" t="s">
        <v>502</v>
      </c>
      <c r="M159" s="29">
        <v>5.9579166666666669E-3</v>
      </c>
      <c r="N159" s="29">
        <v>5.9738425925925922E-3</v>
      </c>
    </row>
    <row r="160" spans="1:14" hidden="1" x14ac:dyDescent="0.3">
      <c r="A160">
        <v>157</v>
      </c>
      <c r="B160" t="s">
        <v>503</v>
      </c>
      <c r="C160" s="29">
        <v>5.9950925925925927E-3</v>
      </c>
      <c r="D160" s="29">
        <v>6.0346759259259251E-3</v>
      </c>
      <c r="E160" t="b">
        <f t="shared" si="2"/>
        <v>1</v>
      </c>
      <c r="K160">
        <v>157</v>
      </c>
      <c r="L160" t="s">
        <v>503</v>
      </c>
      <c r="M160" s="29">
        <v>5.994120370370371E-3</v>
      </c>
      <c r="N160" s="29">
        <v>6.0322569444444443E-3</v>
      </c>
    </row>
    <row r="161" spans="1:14" hidden="1" x14ac:dyDescent="0.3">
      <c r="A161">
        <v>158</v>
      </c>
      <c r="B161" t="s">
        <v>504</v>
      </c>
      <c r="C161" s="29">
        <v>6.0351620370370368E-3</v>
      </c>
      <c r="D161" s="29">
        <v>6.0660532407407408E-3</v>
      </c>
      <c r="E161" t="b">
        <f t="shared" si="2"/>
        <v>1</v>
      </c>
      <c r="K161">
        <v>158</v>
      </c>
      <c r="L161" t="s">
        <v>504</v>
      </c>
      <c r="M161" s="29">
        <v>6.0341898148148151E-3</v>
      </c>
      <c r="N161" s="29">
        <v>6.0636342592592599E-3</v>
      </c>
    </row>
    <row r="162" spans="1:14" hidden="1" x14ac:dyDescent="0.3">
      <c r="A162">
        <v>159</v>
      </c>
      <c r="B162" t="s">
        <v>505</v>
      </c>
      <c r="C162" s="29">
        <v>6.0665393518518516E-3</v>
      </c>
      <c r="D162" s="29">
        <v>6.0800578703703702E-3</v>
      </c>
      <c r="E162" t="b">
        <f t="shared" si="2"/>
        <v>1</v>
      </c>
      <c r="K162">
        <v>159</v>
      </c>
      <c r="L162" t="s">
        <v>505</v>
      </c>
      <c r="M162" s="29">
        <v>6.06556712962963E-3</v>
      </c>
      <c r="N162" s="29">
        <v>6.0776273148148144E-3</v>
      </c>
    </row>
    <row r="163" spans="1:14" hidden="1" x14ac:dyDescent="0.3">
      <c r="A163">
        <v>160</v>
      </c>
      <c r="B163" t="s">
        <v>506</v>
      </c>
      <c r="C163" s="29">
        <v>6.0805439814814819E-3</v>
      </c>
      <c r="D163" s="29">
        <v>6.1032291666666665E-3</v>
      </c>
      <c r="E163" t="b">
        <f t="shared" si="2"/>
        <v>1</v>
      </c>
      <c r="K163">
        <v>160</v>
      </c>
      <c r="L163" t="s">
        <v>506</v>
      </c>
      <c r="M163" s="29">
        <v>6.0795601851851852E-3</v>
      </c>
      <c r="N163" s="29">
        <v>6.1017708333333332E-3</v>
      </c>
    </row>
    <row r="164" spans="1:14" ht="28.8" x14ac:dyDescent="0.3">
      <c r="A164">
        <v>161</v>
      </c>
      <c r="B164" s="23" t="s">
        <v>507</v>
      </c>
      <c r="C164" s="29">
        <v>6.1037152777777774E-3</v>
      </c>
      <c r="D164" s="29">
        <v>6.1249537037037036E-3</v>
      </c>
      <c r="E164" t="b">
        <f t="shared" si="2"/>
        <v>0</v>
      </c>
      <c r="K164">
        <v>161</v>
      </c>
      <c r="L164" s="23" t="s">
        <v>774</v>
      </c>
      <c r="M164" s="29">
        <v>6.1037037037037041E-3</v>
      </c>
      <c r="N164" s="29">
        <v>6.1244560185185187E-3</v>
      </c>
    </row>
    <row r="165" spans="1:14" hidden="1" x14ac:dyDescent="0.3">
      <c r="A165">
        <v>162</v>
      </c>
      <c r="B165" t="s">
        <v>508</v>
      </c>
      <c r="C165" s="29">
        <v>6.1254398148148153E-3</v>
      </c>
      <c r="D165" s="29">
        <v>6.142326388888889E-3</v>
      </c>
      <c r="E165" t="b">
        <f t="shared" si="2"/>
        <v>1</v>
      </c>
      <c r="K165">
        <v>162</v>
      </c>
      <c r="L165" t="s">
        <v>508</v>
      </c>
      <c r="M165" s="29">
        <v>6.1263888888888896E-3</v>
      </c>
      <c r="N165" s="29">
        <v>6.1418402777777773E-3</v>
      </c>
    </row>
    <row r="166" spans="1:14" hidden="1" x14ac:dyDescent="0.3">
      <c r="A166">
        <v>163</v>
      </c>
      <c r="B166" t="s">
        <v>509</v>
      </c>
      <c r="C166" s="29">
        <v>6.1428125000000007E-3</v>
      </c>
      <c r="D166" s="29">
        <v>6.1732291666666663E-3</v>
      </c>
      <c r="E166" t="b">
        <f t="shared" si="2"/>
        <v>1</v>
      </c>
      <c r="K166">
        <v>163</v>
      </c>
      <c r="L166" t="s">
        <v>509</v>
      </c>
      <c r="M166" s="29">
        <v>6.1437615740740741E-3</v>
      </c>
      <c r="N166" s="29">
        <v>6.1741782407407405E-3</v>
      </c>
    </row>
    <row r="167" spans="1:14" hidden="1" x14ac:dyDescent="0.3">
      <c r="A167">
        <v>164</v>
      </c>
      <c r="B167" t="s">
        <v>510</v>
      </c>
      <c r="C167" s="29">
        <v>6.1881944444444441E-3</v>
      </c>
      <c r="D167" s="29">
        <v>6.2031597222222219E-3</v>
      </c>
      <c r="E167" t="b">
        <f t="shared" si="2"/>
        <v>1</v>
      </c>
      <c r="K167">
        <v>164</v>
      </c>
      <c r="L167" t="s">
        <v>510</v>
      </c>
      <c r="M167" s="29">
        <v>6.1881828703703699E-3</v>
      </c>
      <c r="N167" s="29">
        <v>6.2016898148148153E-3</v>
      </c>
    </row>
    <row r="168" spans="1:14" hidden="1" x14ac:dyDescent="0.3">
      <c r="A168">
        <v>165</v>
      </c>
      <c r="B168" t="s">
        <v>511</v>
      </c>
      <c r="C168" s="29">
        <v>6.2036342592592594E-3</v>
      </c>
      <c r="D168" s="29">
        <v>6.2210185185185181E-3</v>
      </c>
      <c r="E168" t="b">
        <f t="shared" si="2"/>
        <v>1</v>
      </c>
      <c r="K168">
        <v>165</v>
      </c>
      <c r="L168" t="s">
        <v>511</v>
      </c>
      <c r="M168" s="29">
        <v>6.2036226851851861E-3</v>
      </c>
      <c r="N168" s="29">
        <v>6.2195601851851856E-3</v>
      </c>
    </row>
    <row r="169" spans="1:14" hidden="1" x14ac:dyDescent="0.3">
      <c r="A169">
        <v>166</v>
      </c>
      <c r="B169" t="s">
        <v>512</v>
      </c>
      <c r="C169" s="29">
        <v>6.2214930555555556E-3</v>
      </c>
      <c r="D169" s="29">
        <v>6.2745949074074076E-3</v>
      </c>
      <c r="E169" t="b">
        <f t="shared" si="2"/>
        <v>1</v>
      </c>
      <c r="K169">
        <v>166</v>
      </c>
      <c r="L169" t="s">
        <v>512</v>
      </c>
      <c r="M169" s="29">
        <v>6.2214930555555556E-3</v>
      </c>
      <c r="N169" s="29">
        <v>6.2745833333333334E-3</v>
      </c>
    </row>
    <row r="170" spans="1:14" ht="28.8" x14ac:dyDescent="0.3">
      <c r="A170">
        <v>167</v>
      </c>
      <c r="B170" s="23" t="s">
        <v>513</v>
      </c>
      <c r="C170" s="29">
        <v>6.303078703703704E-3</v>
      </c>
      <c r="D170" s="29">
        <v>6.3363888888888897E-3</v>
      </c>
      <c r="E170" t="b">
        <f t="shared" si="2"/>
        <v>0</v>
      </c>
      <c r="K170">
        <v>167</v>
      </c>
      <c r="L170" s="23" t="s">
        <v>775</v>
      </c>
      <c r="M170" s="29">
        <v>6.3030671296296298E-3</v>
      </c>
      <c r="N170" s="29">
        <v>6.3363773148148146E-3</v>
      </c>
    </row>
    <row r="171" spans="1:14" hidden="1" x14ac:dyDescent="0.3">
      <c r="A171">
        <v>168</v>
      </c>
      <c r="B171" t="s">
        <v>514</v>
      </c>
      <c r="C171" s="29">
        <v>6.3465277777777782E-3</v>
      </c>
      <c r="D171" s="29">
        <v>6.3658333333333336E-3</v>
      </c>
      <c r="E171" t="b">
        <f t="shared" si="2"/>
        <v>1</v>
      </c>
      <c r="K171">
        <v>168</v>
      </c>
      <c r="L171" t="s">
        <v>514</v>
      </c>
      <c r="M171" s="29">
        <v>6.346516203703704E-3</v>
      </c>
      <c r="N171" s="29">
        <v>6.3643749999999994E-3</v>
      </c>
    </row>
    <row r="172" spans="1:14" ht="28.8" x14ac:dyDescent="0.3">
      <c r="A172">
        <v>169</v>
      </c>
      <c r="B172" s="23" t="s">
        <v>515</v>
      </c>
      <c r="C172" s="29">
        <v>6.3663194444444435E-3</v>
      </c>
      <c r="D172" s="29">
        <v>6.4097685185185186E-3</v>
      </c>
      <c r="E172" t="b">
        <f t="shared" si="2"/>
        <v>0</v>
      </c>
      <c r="K172">
        <v>169</v>
      </c>
      <c r="L172" s="23" t="s">
        <v>776</v>
      </c>
      <c r="M172" s="29">
        <v>6.3663078703703703E-3</v>
      </c>
      <c r="N172" s="29">
        <v>6.4083101851851853E-3</v>
      </c>
    </row>
    <row r="173" spans="1:14" ht="28.8" x14ac:dyDescent="0.3">
      <c r="A173">
        <v>170</v>
      </c>
      <c r="B173" s="23" t="s">
        <v>516</v>
      </c>
      <c r="C173" s="29">
        <v>6.4102430555555562E-3</v>
      </c>
      <c r="D173" s="29">
        <v>6.4517592592592595E-3</v>
      </c>
      <c r="E173" t="b">
        <f t="shared" si="2"/>
        <v>0</v>
      </c>
      <c r="K173">
        <v>170</v>
      </c>
      <c r="L173" s="23" t="s">
        <v>777</v>
      </c>
      <c r="M173" s="29">
        <v>6.410231481481482E-3</v>
      </c>
      <c r="N173" s="29">
        <v>6.4503009259259262E-3</v>
      </c>
    </row>
    <row r="174" spans="1:14" hidden="1" x14ac:dyDescent="0.3">
      <c r="A174">
        <v>171</v>
      </c>
      <c r="B174" t="s">
        <v>517</v>
      </c>
      <c r="C174" s="29">
        <v>6.4522453703703712E-3</v>
      </c>
      <c r="D174" s="29">
        <v>6.4889351851851853E-3</v>
      </c>
      <c r="E174" t="b">
        <f t="shared" si="2"/>
        <v>1</v>
      </c>
      <c r="K174">
        <v>171</v>
      </c>
      <c r="L174" t="s">
        <v>517</v>
      </c>
      <c r="M174" s="29">
        <v>6.4522337962962962E-3</v>
      </c>
      <c r="N174" s="29">
        <v>6.4874768518518519E-3</v>
      </c>
    </row>
    <row r="175" spans="1:14" ht="28.8" x14ac:dyDescent="0.3">
      <c r="A175">
        <v>172</v>
      </c>
      <c r="B175" s="23" t="s">
        <v>518</v>
      </c>
      <c r="C175" s="29">
        <v>6.489421296296297E-3</v>
      </c>
      <c r="D175" s="29">
        <v>6.5275578703703702E-3</v>
      </c>
      <c r="E175" t="b">
        <f t="shared" si="2"/>
        <v>0</v>
      </c>
      <c r="K175">
        <v>172</v>
      </c>
      <c r="L175" s="23" t="s">
        <v>778</v>
      </c>
      <c r="M175" s="29">
        <v>6.4894097222222219E-3</v>
      </c>
      <c r="N175" s="29">
        <v>6.5275462962962969E-3</v>
      </c>
    </row>
    <row r="176" spans="1:14" hidden="1" x14ac:dyDescent="0.3">
      <c r="A176">
        <v>173</v>
      </c>
      <c r="B176" t="s">
        <v>519</v>
      </c>
      <c r="C176" s="29">
        <v>6.5545833333333333E-3</v>
      </c>
      <c r="D176" s="29">
        <v>6.5748611111111112E-3</v>
      </c>
      <c r="E176" t="b">
        <f t="shared" si="2"/>
        <v>1</v>
      </c>
      <c r="K176">
        <v>173</v>
      </c>
      <c r="L176" t="s">
        <v>519</v>
      </c>
      <c r="M176" s="29">
        <v>6.55457175925926E-3</v>
      </c>
      <c r="N176" s="29">
        <v>6.5734027777777778E-3</v>
      </c>
    </row>
    <row r="177" spans="1:14" hidden="1" x14ac:dyDescent="0.3">
      <c r="A177">
        <v>174</v>
      </c>
      <c r="B177" t="s">
        <v>520</v>
      </c>
      <c r="C177" s="29">
        <v>6.575347222222222E-3</v>
      </c>
      <c r="D177" s="29">
        <v>6.5980324074074084E-3</v>
      </c>
      <c r="E177" t="b">
        <f t="shared" si="2"/>
        <v>1</v>
      </c>
      <c r="K177">
        <v>174</v>
      </c>
      <c r="L177" t="s">
        <v>520</v>
      </c>
      <c r="M177" s="29">
        <v>6.5753356481481487E-3</v>
      </c>
      <c r="N177" s="29">
        <v>6.5965740740740733E-3</v>
      </c>
    </row>
    <row r="178" spans="1:14" ht="28.8" x14ac:dyDescent="0.3">
      <c r="A178">
        <v>175</v>
      </c>
      <c r="B178" s="23" t="s">
        <v>521</v>
      </c>
      <c r="C178" s="29">
        <v>6.5985185185185183E-3</v>
      </c>
      <c r="D178" s="29">
        <v>6.631828703703704E-3</v>
      </c>
      <c r="E178" t="b">
        <f t="shared" si="2"/>
        <v>0</v>
      </c>
      <c r="K178">
        <v>175</v>
      </c>
      <c r="L178" s="23" t="s">
        <v>779</v>
      </c>
      <c r="M178" s="29">
        <v>6.5985069444444442E-3</v>
      </c>
      <c r="N178" s="29">
        <v>6.6303587962962965E-3</v>
      </c>
    </row>
    <row r="179" spans="1:14" hidden="1" x14ac:dyDescent="0.3">
      <c r="A179">
        <v>176</v>
      </c>
      <c r="B179" t="s">
        <v>522</v>
      </c>
      <c r="C179" s="29">
        <v>6.6323032407407398E-3</v>
      </c>
      <c r="D179" s="29">
        <v>6.6632060185185188E-3</v>
      </c>
      <c r="E179" t="b">
        <f t="shared" si="2"/>
        <v>1</v>
      </c>
      <c r="K179">
        <v>176</v>
      </c>
      <c r="L179" t="s">
        <v>522</v>
      </c>
      <c r="M179" s="29">
        <v>6.6322916666666665E-3</v>
      </c>
      <c r="N179" s="29">
        <v>6.6631944444444447E-3</v>
      </c>
    </row>
    <row r="180" spans="1:14" x14ac:dyDescent="0.3">
      <c r="A180">
        <v>177</v>
      </c>
      <c r="B180" s="23" t="s">
        <v>523</v>
      </c>
      <c r="C180" s="29">
        <v>6.671886574074074E-3</v>
      </c>
      <c r="D180" s="29">
        <v>6.6936111111111111E-3</v>
      </c>
      <c r="E180" t="b">
        <f t="shared" si="2"/>
        <v>0</v>
      </c>
      <c r="K180">
        <v>177</v>
      </c>
      <c r="L180" s="23" t="s">
        <v>780</v>
      </c>
      <c r="M180" s="29">
        <v>6.6718750000000007E-3</v>
      </c>
      <c r="N180" s="29">
        <v>6.6921527777777778E-3</v>
      </c>
    </row>
    <row r="181" spans="1:14" hidden="1" x14ac:dyDescent="0.3">
      <c r="A181">
        <v>178</v>
      </c>
      <c r="B181" t="s">
        <v>524</v>
      </c>
      <c r="C181" s="29">
        <v>6.6940972222222219E-3</v>
      </c>
      <c r="D181" s="29">
        <v>6.7076157407407406E-3</v>
      </c>
      <c r="E181" t="b">
        <f t="shared" si="2"/>
        <v>1</v>
      </c>
      <c r="K181">
        <v>178</v>
      </c>
      <c r="L181" t="s">
        <v>524</v>
      </c>
      <c r="M181" s="29">
        <v>6.6940856481481487E-3</v>
      </c>
      <c r="N181" s="29">
        <v>6.7061574074074081E-3</v>
      </c>
    </row>
    <row r="182" spans="1:14" hidden="1" x14ac:dyDescent="0.3">
      <c r="A182">
        <v>179</v>
      </c>
      <c r="B182" t="s">
        <v>525</v>
      </c>
      <c r="C182" s="29">
        <v>6.7080902777777772E-3</v>
      </c>
      <c r="D182" s="29">
        <v>6.7554050925925932E-3</v>
      </c>
      <c r="E182" t="b">
        <f t="shared" si="2"/>
        <v>1</v>
      </c>
      <c r="K182">
        <v>179</v>
      </c>
      <c r="L182" t="s">
        <v>525</v>
      </c>
      <c r="M182" s="29">
        <v>6.7080902777777772E-3</v>
      </c>
      <c r="N182" s="29">
        <v>6.7553935185185182E-3</v>
      </c>
    </row>
    <row r="183" spans="1:14" hidden="1" x14ac:dyDescent="0.3">
      <c r="A183">
        <v>180</v>
      </c>
      <c r="B183" t="s">
        <v>526</v>
      </c>
      <c r="C183" s="29">
        <v>6.7732638888888894E-3</v>
      </c>
      <c r="D183" s="29">
        <v>6.7920949074074073E-3</v>
      </c>
      <c r="E183" t="b">
        <f t="shared" si="2"/>
        <v>1</v>
      </c>
      <c r="K183">
        <v>180</v>
      </c>
      <c r="L183" t="s">
        <v>526</v>
      </c>
      <c r="M183" s="29">
        <v>6.7732523148148153E-3</v>
      </c>
      <c r="N183" s="29">
        <v>6.7906365740740739E-3</v>
      </c>
    </row>
    <row r="184" spans="1:14" hidden="1" x14ac:dyDescent="0.3">
      <c r="A184">
        <v>181</v>
      </c>
      <c r="B184" t="s">
        <v>527</v>
      </c>
      <c r="C184" s="29">
        <v>6.7925694444444448E-3</v>
      </c>
      <c r="D184" s="29">
        <v>6.8109143518518519E-3</v>
      </c>
      <c r="E184" t="b">
        <f t="shared" si="2"/>
        <v>1</v>
      </c>
      <c r="K184">
        <v>181</v>
      </c>
      <c r="L184" t="s">
        <v>527</v>
      </c>
      <c r="M184" s="29">
        <v>6.7925578703703698E-3</v>
      </c>
      <c r="N184" s="29">
        <v>6.8109027777777777E-3</v>
      </c>
    </row>
    <row r="185" spans="1:14" x14ac:dyDescent="0.3">
      <c r="A185">
        <v>182</v>
      </c>
      <c r="B185" s="23" t="s">
        <v>528</v>
      </c>
      <c r="C185" s="29">
        <v>6.8669212962962963E-3</v>
      </c>
      <c r="D185" s="29">
        <v>6.8867129629629625E-3</v>
      </c>
      <c r="E185" t="b">
        <f t="shared" si="2"/>
        <v>0</v>
      </c>
      <c r="K185">
        <v>182</v>
      </c>
      <c r="L185" s="23" t="s">
        <v>781</v>
      </c>
      <c r="M185" s="29">
        <v>6.866909722222223E-3</v>
      </c>
      <c r="N185" s="29">
        <v>6.885243055555555E-3</v>
      </c>
    </row>
    <row r="186" spans="1:14" hidden="1" x14ac:dyDescent="0.3">
      <c r="A186">
        <v>183</v>
      </c>
      <c r="B186" t="s">
        <v>529</v>
      </c>
      <c r="C186" s="29">
        <v>6.8871875000000001E-3</v>
      </c>
      <c r="D186" s="29">
        <v>6.9007060185185187E-3</v>
      </c>
      <c r="E186" t="b">
        <f t="shared" si="2"/>
        <v>1</v>
      </c>
      <c r="K186">
        <v>183</v>
      </c>
      <c r="L186" t="s">
        <v>529</v>
      </c>
      <c r="M186" s="29">
        <v>6.8871759259259259E-3</v>
      </c>
      <c r="N186" s="29">
        <v>6.8992476851851853E-3</v>
      </c>
    </row>
    <row r="187" spans="1:14" hidden="1" x14ac:dyDescent="0.3">
      <c r="A187">
        <v>184</v>
      </c>
      <c r="B187" t="s">
        <v>530</v>
      </c>
      <c r="C187" s="29">
        <v>6.9011921296296304E-3</v>
      </c>
      <c r="D187" s="29">
        <v>6.9243634259259258E-3</v>
      </c>
      <c r="E187" t="b">
        <f t="shared" si="2"/>
        <v>1</v>
      </c>
      <c r="K187">
        <v>184</v>
      </c>
      <c r="L187" t="s">
        <v>530</v>
      </c>
      <c r="M187" s="29">
        <v>6.9011805555555545E-3</v>
      </c>
      <c r="N187" s="29">
        <v>6.9243518518518517E-3</v>
      </c>
    </row>
    <row r="188" spans="1:14" hidden="1" x14ac:dyDescent="0.3">
      <c r="A188">
        <v>185</v>
      </c>
      <c r="B188" t="s">
        <v>531</v>
      </c>
      <c r="C188" s="29">
        <v>6.9325694444444452E-3</v>
      </c>
      <c r="D188" s="29">
        <v>6.9484953703703705E-3</v>
      </c>
      <c r="E188" t="b">
        <f t="shared" si="2"/>
        <v>1</v>
      </c>
      <c r="K188">
        <v>185</v>
      </c>
      <c r="L188" t="s">
        <v>531</v>
      </c>
      <c r="M188" s="29">
        <v>6.9325578703703702E-3</v>
      </c>
      <c r="N188" s="29">
        <v>6.9470370370370372E-3</v>
      </c>
    </row>
    <row r="189" spans="1:14" hidden="1" x14ac:dyDescent="0.3">
      <c r="A189">
        <v>186</v>
      </c>
      <c r="B189" t="s">
        <v>532</v>
      </c>
      <c r="C189" s="29">
        <v>6.9489814814814822E-3</v>
      </c>
      <c r="D189" s="29">
        <v>6.9880787037037038E-3</v>
      </c>
      <c r="E189" t="b">
        <f t="shared" si="2"/>
        <v>1</v>
      </c>
      <c r="K189">
        <v>186</v>
      </c>
      <c r="L189" t="s">
        <v>532</v>
      </c>
      <c r="M189" s="29">
        <v>6.9489699074074072E-3</v>
      </c>
      <c r="N189" s="29">
        <v>6.9880671296296297E-3</v>
      </c>
    </row>
    <row r="190" spans="1:14" hidden="1" x14ac:dyDescent="0.3">
      <c r="A190">
        <v>187</v>
      </c>
      <c r="B190" t="s">
        <v>533</v>
      </c>
      <c r="C190" s="29">
        <v>7.0064236111111117E-3</v>
      </c>
      <c r="D190" s="29">
        <v>7.0291203703703705E-3</v>
      </c>
      <c r="E190" t="b">
        <f t="shared" si="2"/>
        <v>1</v>
      </c>
      <c r="K190">
        <v>187</v>
      </c>
      <c r="L190" t="s">
        <v>533</v>
      </c>
      <c r="M190" s="29">
        <v>7.0064120370370376E-3</v>
      </c>
      <c r="N190" s="29">
        <v>7.027650462962963E-3</v>
      </c>
    </row>
    <row r="191" spans="1:14" hidden="1" x14ac:dyDescent="0.3">
      <c r="A191">
        <v>188</v>
      </c>
      <c r="B191" t="s">
        <v>534</v>
      </c>
      <c r="C191" s="29">
        <v>7.0295949074074071E-3</v>
      </c>
      <c r="D191" s="29">
        <v>7.0706250000000005E-3</v>
      </c>
      <c r="E191" t="b">
        <f t="shared" si="2"/>
        <v>1</v>
      </c>
      <c r="K191">
        <v>188</v>
      </c>
      <c r="L191" t="s">
        <v>534</v>
      </c>
      <c r="M191" s="29">
        <v>7.029583333333333E-3</v>
      </c>
      <c r="N191" s="29">
        <v>7.0691666666666663E-3</v>
      </c>
    </row>
    <row r="192" spans="1:14" hidden="1" x14ac:dyDescent="0.3">
      <c r="A192">
        <v>189</v>
      </c>
      <c r="B192" t="s">
        <v>535</v>
      </c>
      <c r="C192" s="29">
        <v>7.0711111111111105E-3</v>
      </c>
      <c r="D192" s="29">
        <v>7.1198726851851857E-3</v>
      </c>
      <c r="E192" t="b">
        <f t="shared" si="2"/>
        <v>1</v>
      </c>
      <c r="K192">
        <v>189</v>
      </c>
      <c r="L192" t="s">
        <v>535</v>
      </c>
      <c r="M192" s="29">
        <v>7.0710995370370372E-3</v>
      </c>
      <c r="N192" s="29">
        <v>7.1198611111111107E-3</v>
      </c>
    </row>
    <row r="193" spans="1:14" x14ac:dyDescent="0.3">
      <c r="A193">
        <v>190</v>
      </c>
      <c r="B193" s="23" t="s">
        <v>536</v>
      </c>
      <c r="C193" s="29">
        <v>7.1266319444444441E-3</v>
      </c>
      <c r="D193" s="29">
        <v>7.1478703703703704E-3</v>
      </c>
      <c r="E193" t="b">
        <f t="shared" si="2"/>
        <v>0</v>
      </c>
      <c r="K193">
        <v>190</v>
      </c>
      <c r="L193" s="23" t="s">
        <v>782</v>
      </c>
      <c r="M193" s="29">
        <v>7.1266203703703708E-3</v>
      </c>
      <c r="N193" s="29">
        <v>7.1464120370370379E-3</v>
      </c>
    </row>
    <row r="194" spans="1:14" hidden="1" x14ac:dyDescent="0.3">
      <c r="A194">
        <v>191</v>
      </c>
      <c r="B194" t="s">
        <v>537</v>
      </c>
      <c r="C194" s="29">
        <v>7.1483449074074071E-3</v>
      </c>
      <c r="D194" s="29">
        <v>7.1715162037037043E-3</v>
      </c>
      <c r="E194" t="b">
        <f t="shared" si="2"/>
        <v>1</v>
      </c>
      <c r="K194">
        <v>191</v>
      </c>
      <c r="L194" t="s">
        <v>537</v>
      </c>
      <c r="M194" s="29">
        <v>7.1483449074074071E-3</v>
      </c>
      <c r="N194" s="29">
        <v>7.1715162037037043E-3</v>
      </c>
    </row>
    <row r="195" spans="1:14" hidden="1" x14ac:dyDescent="0.3">
      <c r="A195">
        <v>192</v>
      </c>
      <c r="B195" t="s">
        <v>538</v>
      </c>
      <c r="C195" s="29">
        <v>7.2130324074074076E-3</v>
      </c>
      <c r="D195" s="29">
        <v>7.2376620370370364E-3</v>
      </c>
      <c r="E195" t="b">
        <f t="shared" si="2"/>
        <v>1</v>
      </c>
      <c r="K195">
        <v>192</v>
      </c>
      <c r="L195" t="s">
        <v>538</v>
      </c>
      <c r="M195" s="29">
        <v>7.2130208333333334E-3</v>
      </c>
      <c r="N195" s="29">
        <v>7.2361921296296297E-3</v>
      </c>
    </row>
    <row r="196" spans="1:14" hidden="1" x14ac:dyDescent="0.3">
      <c r="A196">
        <v>193</v>
      </c>
      <c r="B196" t="s">
        <v>539</v>
      </c>
      <c r="C196" s="29">
        <v>7.2381365740740739E-3</v>
      </c>
      <c r="D196" s="29">
        <v>7.2535879629629634E-3</v>
      </c>
      <c r="E196" t="b">
        <f t="shared" ref="E196:E259" si="3">B196=L196</f>
        <v>1</v>
      </c>
      <c r="K196">
        <v>193</v>
      </c>
      <c r="L196" t="s">
        <v>539</v>
      </c>
      <c r="M196" s="29">
        <v>7.2381250000000006E-3</v>
      </c>
      <c r="N196" s="29">
        <v>7.2521296296296292E-3</v>
      </c>
    </row>
    <row r="197" spans="1:14" x14ac:dyDescent="0.3">
      <c r="A197">
        <v>194</v>
      </c>
      <c r="B197" s="23" t="s">
        <v>540</v>
      </c>
      <c r="C197" s="29">
        <v>7.2540740740740734E-3</v>
      </c>
      <c r="D197" s="29">
        <v>7.2738657407407405E-3</v>
      </c>
      <c r="E197" t="b">
        <f t="shared" si="3"/>
        <v>0</v>
      </c>
      <c r="K197">
        <v>194</v>
      </c>
      <c r="L197" s="23" t="s">
        <v>783</v>
      </c>
      <c r="M197" s="29">
        <v>7.2540625000000001E-3</v>
      </c>
      <c r="N197" s="29">
        <v>7.2738541666666672E-3</v>
      </c>
    </row>
    <row r="198" spans="1:14" hidden="1" x14ac:dyDescent="0.3">
      <c r="A198">
        <v>195</v>
      </c>
      <c r="B198" t="s">
        <v>541</v>
      </c>
      <c r="C198" s="29">
        <v>7.290752314814815E-3</v>
      </c>
      <c r="D198" s="29">
        <v>7.3105439814814812E-3</v>
      </c>
      <c r="E198" t="b">
        <f t="shared" si="3"/>
        <v>1</v>
      </c>
      <c r="K198">
        <v>195</v>
      </c>
      <c r="L198" t="s">
        <v>541</v>
      </c>
      <c r="M198" s="29">
        <v>7.29074074074074E-3</v>
      </c>
      <c r="N198" s="29">
        <v>7.3105439814814812E-3</v>
      </c>
    </row>
    <row r="199" spans="1:14" hidden="1" x14ac:dyDescent="0.3">
      <c r="A199">
        <v>196</v>
      </c>
      <c r="B199" t="s">
        <v>542</v>
      </c>
      <c r="C199" s="29">
        <v>7.3173032407407414E-3</v>
      </c>
      <c r="D199" s="29">
        <v>7.3428935185185194E-3</v>
      </c>
      <c r="E199" t="b">
        <f t="shared" si="3"/>
        <v>1</v>
      </c>
      <c r="K199">
        <v>196</v>
      </c>
      <c r="L199" t="s">
        <v>542</v>
      </c>
      <c r="M199" s="29">
        <v>7.3172916666666664E-3</v>
      </c>
      <c r="N199" s="29">
        <v>7.3428819444444435E-3</v>
      </c>
    </row>
    <row r="200" spans="1:14" hidden="1" x14ac:dyDescent="0.3">
      <c r="A200">
        <v>197</v>
      </c>
      <c r="B200" t="s">
        <v>543</v>
      </c>
      <c r="C200" s="29">
        <v>7.3496527777777779E-3</v>
      </c>
      <c r="D200" s="29">
        <v>7.3679976851851858E-3</v>
      </c>
      <c r="E200" t="b">
        <f t="shared" si="3"/>
        <v>1</v>
      </c>
      <c r="K200">
        <v>197</v>
      </c>
      <c r="L200" t="s">
        <v>543</v>
      </c>
      <c r="M200" s="29">
        <v>7.3496412037037037E-3</v>
      </c>
      <c r="N200" s="29">
        <v>7.3679861111111116E-3</v>
      </c>
    </row>
    <row r="201" spans="1:14" hidden="1" x14ac:dyDescent="0.3">
      <c r="A201">
        <v>198</v>
      </c>
      <c r="B201" t="s">
        <v>544</v>
      </c>
      <c r="C201" s="29">
        <v>7.3810300925925927E-3</v>
      </c>
      <c r="D201" s="29">
        <v>7.3988888888888889E-3</v>
      </c>
      <c r="E201" t="b">
        <f t="shared" si="3"/>
        <v>1</v>
      </c>
      <c r="K201">
        <v>198</v>
      </c>
      <c r="L201" t="s">
        <v>544</v>
      </c>
      <c r="M201" s="29">
        <v>7.3810185185185185E-3</v>
      </c>
      <c r="N201" s="29">
        <v>7.3974305555555555E-3</v>
      </c>
    </row>
    <row r="202" spans="1:14" hidden="1" x14ac:dyDescent="0.3">
      <c r="A202">
        <v>199</v>
      </c>
      <c r="B202" t="s">
        <v>545</v>
      </c>
      <c r="C202" s="29">
        <v>7.3993750000000006E-3</v>
      </c>
      <c r="D202" s="29">
        <v>7.4399189814814814E-3</v>
      </c>
      <c r="E202" t="b">
        <f t="shared" si="3"/>
        <v>1</v>
      </c>
      <c r="K202">
        <v>199</v>
      </c>
      <c r="L202" t="s">
        <v>545</v>
      </c>
      <c r="M202" s="29">
        <v>7.3993634259259256E-3</v>
      </c>
      <c r="N202" s="29">
        <v>7.4399074074074072E-3</v>
      </c>
    </row>
    <row r="203" spans="1:14" hidden="1" x14ac:dyDescent="0.3">
      <c r="A203">
        <v>200</v>
      </c>
      <c r="B203" t="s">
        <v>546</v>
      </c>
      <c r="C203" s="29">
        <v>7.4761226851851855E-3</v>
      </c>
      <c r="D203" s="29">
        <v>7.4935069444444441E-3</v>
      </c>
      <c r="E203" t="b">
        <f t="shared" si="3"/>
        <v>1</v>
      </c>
      <c r="K203">
        <v>200</v>
      </c>
      <c r="L203" t="s">
        <v>546</v>
      </c>
      <c r="M203" s="29">
        <v>7.4761111111111113E-3</v>
      </c>
      <c r="N203" s="29">
        <v>7.4920486111111108E-3</v>
      </c>
    </row>
    <row r="204" spans="1:14" hidden="1" x14ac:dyDescent="0.3">
      <c r="A204">
        <v>201</v>
      </c>
      <c r="B204" t="s">
        <v>547</v>
      </c>
      <c r="C204" s="29">
        <v>7.4939930555555558E-3</v>
      </c>
      <c r="D204" s="29">
        <v>7.5186111111111105E-3</v>
      </c>
      <c r="E204" t="b">
        <f t="shared" si="3"/>
        <v>1</v>
      </c>
      <c r="K204">
        <v>201</v>
      </c>
      <c r="L204" t="s">
        <v>547</v>
      </c>
      <c r="M204" s="29">
        <v>7.4939814814814817E-3</v>
      </c>
      <c r="N204" s="29">
        <v>7.5171527777777771E-3</v>
      </c>
    </row>
    <row r="205" spans="1:14" hidden="1" x14ac:dyDescent="0.3">
      <c r="A205">
        <v>202</v>
      </c>
      <c r="B205" t="s">
        <v>548</v>
      </c>
      <c r="C205" s="29">
        <v>7.519085648148148E-3</v>
      </c>
      <c r="D205" s="29">
        <v>7.5466087962962969E-3</v>
      </c>
      <c r="E205" t="b">
        <f t="shared" si="3"/>
        <v>1</v>
      </c>
      <c r="K205">
        <v>202</v>
      </c>
      <c r="L205" t="s">
        <v>548</v>
      </c>
      <c r="M205" s="29">
        <v>7.519085648148148E-3</v>
      </c>
      <c r="N205" s="29">
        <v>7.5451504629629627E-3</v>
      </c>
    </row>
    <row r="206" spans="1:14" hidden="1" x14ac:dyDescent="0.3">
      <c r="A206">
        <v>203</v>
      </c>
      <c r="B206" t="s">
        <v>549</v>
      </c>
      <c r="C206" s="29">
        <v>7.5470949074074069E-3</v>
      </c>
      <c r="D206" s="29">
        <v>7.5852314814814819E-3</v>
      </c>
      <c r="E206" t="b">
        <f t="shared" si="3"/>
        <v>1</v>
      </c>
      <c r="K206">
        <v>203</v>
      </c>
      <c r="L206" t="s">
        <v>549</v>
      </c>
      <c r="M206" s="29">
        <v>7.5470833333333327E-3</v>
      </c>
      <c r="N206" s="29">
        <v>7.5837615740740735E-3</v>
      </c>
    </row>
    <row r="207" spans="1:14" x14ac:dyDescent="0.3">
      <c r="A207">
        <v>204</v>
      </c>
      <c r="B207" s="23" t="s">
        <v>550</v>
      </c>
      <c r="C207" s="29">
        <v>7.5857060185185185E-3</v>
      </c>
      <c r="D207" s="29">
        <v>7.6146759259259258E-3</v>
      </c>
      <c r="E207" t="b">
        <f t="shared" si="3"/>
        <v>0</v>
      </c>
      <c r="K207">
        <v>204</v>
      </c>
      <c r="L207" s="23" t="s">
        <v>784</v>
      </c>
      <c r="M207" s="29">
        <v>7.5856944444444444E-3</v>
      </c>
      <c r="N207" s="29">
        <v>7.6146643518518525E-3</v>
      </c>
    </row>
    <row r="208" spans="1:14" hidden="1" x14ac:dyDescent="0.3">
      <c r="A208">
        <v>205</v>
      </c>
      <c r="B208" t="s">
        <v>551</v>
      </c>
      <c r="C208" s="29">
        <v>7.6368750000000004E-3</v>
      </c>
      <c r="D208" s="29">
        <v>7.6808101851851846E-3</v>
      </c>
      <c r="E208" t="b">
        <f t="shared" si="3"/>
        <v>1</v>
      </c>
      <c r="K208">
        <v>205</v>
      </c>
      <c r="L208" t="s">
        <v>551</v>
      </c>
      <c r="M208" s="29">
        <v>7.6368634259259263E-3</v>
      </c>
      <c r="N208" s="29">
        <v>7.6807986111111105E-3</v>
      </c>
    </row>
    <row r="209" spans="1:14" hidden="1" x14ac:dyDescent="0.3">
      <c r="A209">
        <v>206</v>
      </c>
      <c r="B209" t="s">
        <v>552</v>
      </c>
      <c r="C209" s="29">
        <v>7.7271527777777772E-3</v>
      </c>
      <c r="D209" s="29">
        <v>7.7575578703703713E-3</v>
      </c>
      <c r="E209" t="b">
        <f t="shared" si="3"/>
        <v>1</v>
      </c>
      <c r="K209">
        <v>206</v>
      </c>
      <c r="L209" t="s">
        <v>552</v>
      </c>
      <c r="M209" s="29">
        <v>7.7271412037037039E-3</v>
      </c>
      <c r="N209" s="29">
        <v>7.7560995370370362E-3</v>
      </c>
    </row>
    <row r="210" spans="1:14" hidden="1" x14ac:dyDescent="0.3">
      <c r="A210">
        <v>207</v>
      </c>
      <c r="B210" t="s">
        <v>553</v>
      </c>
      <c r="C210" s="29">
        <v>7.7580439814814812E-3</v>
      </c>
      <c r="D210" s="29">
        <v>7.7788078703703708E-3</v>
      </c>
      <c r="E210" t="b">
        <f t="shared" si="3"/>
        <v>1</v>
      </c>
      <c r="K210">
        <v>207</v>
      </c>
      <c r="L210" t="s">
        <v>553</v>
      </c>
      <c r="M210" s="29">
        <v>7.7580324074074071E-3</v>
      </c>
      <c r="N210" s="29">
        <v>7.7773379629629625E-3</v>
      </c>
    </row>
    <row r="211" spans="1:14" x14ac:dyDescent="0.3">
      <c r="A211">
        <v>208</v>
      </c>
      <c r="B211" s="23" t="s">
        <v>554</v>
      </c>
      <c r="C211" s="29">
        <v>7.7792824074074075E-3</v>
      </c>
      <c r="D211" s="29">
        <v>7.805833333333333E-3</v>
      </c>
      <c r="E211" t="b">
        <f t="shared" si="3"/>
        <v>0</v>
      </c>
      <c r="K211">
        <v>208</v>
      </c>
      <c r="L211" s="23" t="s">
        <v>785</v>
      </c>
      <c r="M211" s="29">
        <v>7.7792708333333334E-3</v>
      </c>
      <c r="N211" s="29">
        <v>7.8043749999999997E-3</v>
      </c>
    </row>
    <row r="212" spans="1:14" hidden="1" x14ac:dyDescent="0.3">
      <c r="A212">
        <v>209</v>
      </c>
      <c r="B212" t="s">
        <v>555</v>
      </c>
      <c r="C212" s="29">
        <v>7.8063194444444447E-3</v>
      </c>
      <c r="D212" s="29">
        <v>7.8487962962962964E-3</v>
      </c>
      <c r="E212" t="b">
        <f t="shared" si="3"/>
        <v>1</v>
      </c>
      <c r="K212">
        <v>209</v>
      </c>
      <c r="L212" t="s">
        <v>555</v>
      </c>
      <c r="M212" s="29">
        <v>7.8063078703703706E-3</v>
      </c>
      <c r="N212" s="29">
        <v>7.8473379629629622E-3</v>
      </c>
    </row>
    <row r="213" spans="1:14" hidden="1" x14ac:dyDescent="0.3">
      <c r="A213">
        <v>210</v>
      </c>
      <c r="B213" t="s">
        <v>556</v>
      </c>
      <c r="C213" s="29">
        <v>7.8492824074074072E-3</v>
      </c>
      <c r="D213" s="29">
        <v>7.8792129629629629E-3</v>
      </c>
      <c r="E213" t="b">
        <f t="shared" si="3"/>
        <v>1</v>
      </c>
      <c r="K213">
        <v>210</v>
      </c>
      <c r="L213" t="s">
        <v>556</v>
      </c>
      <c r="M213" s="29">
        <v>7.8492708333333331E-3</v>
      </c>
      <c r="N213" s="29">
        <v>7.8777546296296304E-3</v>
      </c>
    </row>
    <row r="214" spans="1:14" hidden="1" x14ac:dyDescent="0.3">
      <c r="A214">
        <v>211</v>
      </c>
      <c r="B214" t="s">
        <v>557</v>
      </c>
      <c r="C214" s="29">
        <v>7.8796990740740737E-3</v>
      </c>
      <c r="D214" s="29">
        <v>7.8932060185185181E-3</v>
      </c>
      <c r="E214" t="b">
        <f t="shared" si="3"/>
        <v>1</v>
      </c>
      <c r="K214">
        <v>211</v>
      </c>
      <c r="L214" t="s">
        <v>557</v>
      </c>
      <c r="M214" s="29">
        <v>7.8796874999999995E-3</v>
      </c>
      <c r="N214" s="29">
        <v>7.8917476851851857E-3</v>
      </c>
    </row>
    <row r="215" spans="1:14" hidden="1" x14ac:dyDescent="0.3">
      <c r="A215">
        <v>212</v>
      </c>
      <c r="B215" t="s">
        <v>458</v>
      </c>
      <c r="C215" s="29">
        <v>7.893692129629629E-3</v>
      </c>
      <c r="D215" s="29">
        <v>7.9129976851851844E-3</v>
      </c>
      <c r="E215" t="b">
        <f t="shared" si="3"/>
        <v>1</v>
      </c>
      <c r="K215">
        <v>212</v>
      </c>
      <c r="L215" t="s">
        <v>458</v>
      </c>
      <c r="M215" s="29">
        <v>7.8936805555555548E-3</v>
      </c>
      <c r="N215" s="29">
        <v>7.912986111111112E-3</v>
      </c>
    </row>
    <row r="216" spans="1:14" hidden="1" x14ac:dyDescent="0.3">
      <c r="A216">
        <v>213</v>
      </c>
      <c r="B216" t="s">
        <v>558</v>
      </c>
      <c r="C216" s="29">
        <v>7.9294212962962955E-3</v>
      </c>
      <c r="D216" s="29">
        <v>7.9690046296296297E-3</v>
      </c>
      <c r="E216" t="b">
        <f t="shared" si="3"/>
        <v>1</v>
      </c>
      <c r="K216">
        <v>213</v>
      </c>
      <c r="L216" t="s">
        <v>558</v>
      </c>
      <c r="M216" s="29">
        <v>7.9294097222222214E-3</v>
      </c>
      <c r="N216" s="29">
        <v>7.9675462962962955E-3</v>
      </c>
    </row>
    <row r="217" spans="1:14" hidden="1" x14ac:dyDescent="0.3">
      <c r="A217">
        <v>214</v>
      </c>
      <c r="B217" t="s">
        <v>559</v>
      </c>
      <c r="C217" s="29">
        <v>7.9694791666666664E-3</v>
      </c>
      <c r="D217" s="29">
        <v>7.9907291666666668E-3</v>
      </c>
      <c r="E217" t="b">
        <f t="shared" si="3"/>
        <v>1</v>
      </c>
      <c r="K217">
        <v>214</v>
      </c>
      <c r="L217" t="s">
        <v>559</v>
      </c>
      <c r="M217" s="29">
        <v>7.9694675925925922E-3</v>
      </c>
      <c r="N217" s="29">
        <v>7.9892592592592602E-3</v>
      </c>
    </row>
    <row r="218" spans="1:14" hidden="1" x14ac:dyDescent="0.3">
      <c r="A218">
        <v>215</v>
      </c>
      <c r="B218" t="s">
        <v>560</v>
      </c>
      <c r="C218" s="29">
        <v>7.9912037037037035E-3</v>
      </c>
      <c r="D218" s="29">
        <v>8.0303124999999993E-3</v>
      </c>
      <c r="E218" t="b">
        <f t="shared" si="3"/>
        <v>1</v>
      </c>
      <c r="K218">
        <v>215</v>
      </c>
      <c r="L218" t="s">
        <v>560</v>
      </c>
      <c r="M218" s="29">
        <v>7.9911921296296293E-3</v>
      </c>
      <c r="N218" s="29">
        <v>8.0288425925925926E-3</v>
      </c>
    </row>
    <row r="219" spans="1:14" x14ac:dyDescent="0.3">
      <c r="A219">
        <v>216</v>
      </c>
      <c r="B219" s="23" t="s">
        <v>561</v>
      </c>
      <c r="C219" s="29">
        <v>8.0307870370370377E-3</v>
      </c>
      <c r="D219" s="29">
        <v>8.0583101851851857E-3</v>
      </c>
      <c r="E219" t="b">
        <f t="shared" si="3"/>
        <v>0</v>
      </c>
      <c r="K219">
        <v>216</v>
      </c>
      <c r="L219" s="23" t="s">
        <v>786</v>
      </c>
      <c r="M219" s="29">
        <v>8.0307754629629635E-3</v>
      </c>
      <c r="N219" s="29">
        <v>8.0568518518518515E-3</v>
      </c>
    </row>
    <row r="220" spans="1:14" hidden="1" x14ac:dyDescent="0.3">
      <c r="A220">
        <v>217</v>
      </c>
      <c r="B220" t="s">
        <v>562</v>
      </c>
      <c r="C220" s="29">
        <v>8.0587847222222224E-3</v>
      </c>
      <c r="D220" s="29">
        <v>8.0867824074074071E-3</v>
      </c>
      <c r="E220" t="b">
        <f t="shared" si="3"/>
        <v>1</v>
      </c>
      <c r="K220">
        <v>217</v>
      </c>
      <c r="L220" t="s">
        <v>562</v>
      </c>
      <c r="M220" s="29">
        <v>8.0587731481481482E-3</v>
      </c>
      <c r="N220" s="29">
        <v>8.0853240740740746E-3</v>
      </c>
    </row>
    <row r="221" spans="1:14" hidden="1" x14ac:dyDescent="0.3">
      <c r="A221">
        <v>218</v>
      </c>
      <c r="B221" t="s">
        <v>563</v>
      </c>
      <c r="C221" s="29">
        <v>8.0872685185185179E-3</v>
      </c>
      <c r="D221" s="29">
        <v>8.1157523148148152E-3</v>
      </c>
      <c r="E221" t="b">
        <f t="shared" si="3"/>
        <v>1</v>
      </c>
      <c r="K221">
        <v>218</v>
      </c>
      <c r="L221" t="s">
        <v>563</v>
      </c>
      <c r="M221" s="29">
        <v>8.0872569444444455E-3</v>
      </c>
      <c r="N221" s="29">
        <v>8.1142939814814827E-3</v>
      </c>
    </row>
    <row r="222" spans="1:14" hidden="1" x14ac:dyDescent="0.3">
      <c r="A222">
        <v>219</v>
      </c>
      <c r="B222" t="s">
        <v>564</v>
      </c>
      <c r="C222" s="29">
        <v>8.1162384259259261E-3</v>
      </c>
      <c r="D222" s="29">
        <v>8.1505092592592584E-3</v>
      </c>
      <c r="E222" t="b">
        <f t="shared" si="3"/>
        <v>1</v>
      </c>
      <c r="K222">
        <v>219</v>
      </c>
      <c r="L222" t="s">
        <v>564</v>
      </c>
      <c r="M222" s="29">
        <v>8.1162268518518519E-3</v>
      </c>
      <c r="N222" s="29">
        <v>8.1504976851851842E-3</v>
      </c>
    </row>
    <row r="223" spans="1:14" hidden="1" x14ac:dyDescent="0.3">
      <c r="A223">
        <v>220</v>
      </c>
      <c r="B223" t="s">
        <v>565</v>
      </c>
      <c r="C223" s="29">
        <v>8.1809259259259266E-3</v>
      </c>
      <c r="D223" s="29">
        <v>8.2103703703703696E-3</v>
      </c>
      <c r="E223" t="b">
        <f t="shared" si="3"/>
        <v>1</v>
      </c>
      <c r="K223">
        <v>220</v>
      </c>
      <c r="L223" t="s">
        <v>565</v>
      </c>
      <c r="M223" s="29">
        <v>8.1809143518518524E-3</v>
      </c>
      <c r="N223" s="29">
        <v>8.2103587962962955E-3</v>
      </c>
    </row>
    <row r="224" spans="1:14" hidden="1" x14ac:dyDescent="0.3">
      <c r="A224">
        <v>221</v>
      </c>
      <c r="B224" t="s">
        <v>566</v>
      </c>
      <c r="C224" s="29">
        <v>8.2253356481481483E-3</v>
      </c>
      <c r="D224" s="29">
        <v>8.246087962962962E-3</v>
      </c>
      <c r="E224" t="b">
        <f t="shared" si="3"/>
        <v>1</v>
      </c>
      <c r="K224">
        <v>221</v>
      </c>
      <c r="L224" t="s">
        <v>566</v>
      </c>
      <c r="M224" s="29">
        <v>8.2253240740740741E-3</v>
      </c>
      <c r="N224" s="29">
        <v>8.2446296296296295E-3</v>
      </c>
    </row>
    <row r="225" spans="1:14" hidden="1" x14ac:dyDescent="0.3">
      <c r="A225">
        <v>222</v>
      </c>
      <c r="B225" t="s">
        <v>567</v>
      </c>
      <c r="C225" s="29">
        <v>8.2465740740740746E-3</v>
      </c>
      <c r="D225" s="29">
        <v>8.2793981481481486E-3</v>
      </c>
      <c r="E225" t="b">
        <f t="shared" si="3"/>
        <v>1</v>
      </c>
      <c r="K225">
        <v>222</v>
      </c>
      <c r="L225" t="s">
        <v>567</v>
      </c>
      <c r="M225" s="29">
        <v>8.2465625000000004E-3</v>
      </c>
      <c r="N225" s="29">
        <v>8.2779398148148144E-3</v>
      </c>
    </row>
    <row r="226" spans="1:14" hidden="1" x14ac:dyDescent="0.3">
      <c r="A226">
        <v>223</v>
      </c>
      <c r="B226" t="s">
        <v>568</v>
      </c>
      <c r="C226" s="29">
        <v>8.2798842592592594E-3</v>
      </c>
      <c r="D226" s="29">
        <v>8.3016087962962965E-3</v>
      </c>
      <c r="E226" t="b">
        <f t="shared" si="3"/>
        <v>1</v>
      </c>
      <c r="K226">
        <v>223</v>
      </c>
      <c r="L226" t="s">
        <v>568</v>
      </c>
      <c r="M226" s="29">
        <v>8.2798726851851853E-3</v>
      </c>
      <c r="N226" s="29">
        <v>8.300150462962964E-3</v>
      </c>
    </row>
    <row r="227" spans="1:14" hidden="1" x14ac:dyDescent="0.3">
      <c r="A227">
        <v>224</v>
      </c>
      <c r="B227" t="s">
        <v>569</v>
      </c>
      <c r="C227" s="29">
        <v>8.3020833333333332E-3</v>
      </c>
      <c r="D227" s="29">
        <v>8.3271875000000013E-3</v>
      </c>
      <c r="E227" t="b">
        <f t="shared" si="3"/>
        <v>1</v>
      </c>
      <c r="K227">
        <v>224</v>
      </c>
      <c r="L227" t="s">
        <v>569</v>
      </c>
      <c r="M227" s="29">
        <v>8.302071759259259E-3</v>
      </c>
      <c r="N227" s="29">
        <v>8.3271759259259254E-3</v>
      </c>
    </row>
    <row r="228" spans="1:14" hidden="1" x14ac:dyDescent="0.3">
      <c r="A228">
        <v>225</v>
      </c>
      <c r="B228" t="s">
        <v>570</v>
      </c>
      <c r="C228" s="29">
        <v>8.3339467592592597E-3</v>
      </c>
      <c r="D228" s="29">
        <v>8.3614699074074077E-3</v>
      </c>
      <c r="E228" t="b">
        <f t="shared" si="3"/>
        <v>1</v>
      </c>
      <c r="K228">
        <v>225</v>
      </c>
      <c r="L228" t="s">
        <v>570</v>
      </c>
      <c r="M228" s="29">
        <v>8.3339351851851855E-3</v>
      </c>
      <c r="N228" s="29">
        <v>8.3599999999999994E-3</v>
      </c>
    </row>
    <row r="229" spans="1:14" hidden="1" x14ac:dyDescent="0.3">
      <c r="A229">
        <v>226</v>
      </c>
      <c r="B229" t="s">
        <v>571</v>
      </c>
      <c r="C229" s="29">
        <v>8.3619444444444444E-3</v>
      </c>
      <c r="D229" s="29">
        <v>8.375462962962963E-3</v>
      </c>
      <c r="E229" t="b">
        <f t="shared" si="3"/>
        <v>1</v>
      </c>
      <c r="K229">
        <v>226</v>
      </c>
      <c r="L229" t="s">
        <v>571</v>
      </c>
      <c r="M229" s="29">
        <v>8.3619328703703703E-3</v>
      </c>
      <c r="N229" s="29">
        <v>8.3740046296296305E-3</v>
      </c>
    </row>
    <row r="230" spans="1:14" hidden="1" x14ac:dyDescent="0.3">
      <c r="A230">
        <v>227</v>
      </c>
      <c r="B230" t="s">
        <v>572</v>
      </c>
      <c r="C230" s="29">
        <v>8.3759490740740739E-3</v>
      </c>
      <c r="D230" s="29">
        <v>8.3894675925925925E-3</v>
      </c>
      <c r="E230" t="b">
        <f t="shared" si="3"/>
        <v>1</v>
      </c>
      <c r="K230">
        <v>227</v>
      </c>
      <c r="L230" t="s">
        <v>572</v>
      </c>
      <c r="M230" s="29">
        <v>8.3759374999999997E-3</v>
      </c>
      <c r="N230" s="29">
        <v>8.3879976851851841E-3</v>
      </c>
    </row>
    <row r="231" spans="1:14" hidden="1" x14ac:dyDescent="0.3">
      <c r="A231">
        <v>228</v>
      </c>
      <c r="B231" t="s">
        <v>573</v>
      </c>
      <c r="C231" s="29">
        <v>8.3899421296296291E-3</v>
      </c>
      <c r="D231" s="29">
        <v>8.4039467592592586E-3</v>
      </c>
      <c r="E231" t="b">
        <f t="shared" si="3"/>
        <v>1</v>
      </c>
      <c r="K231">
        <v>228</v>
      </c>
      <c r="L231" t="s">
        <v>573</v>
      </c>
      <c r="M231" s="29">
        <v>8.389930555555555E-3</v>
      </c>
      <c r="N231" s="29">
        <v>8.4039351851851862E-3</v>
      </c>
    </row>
    <row r="232" spans="1:14" hidden="1" x14ac:dyDescent="0.3">
      <c r="A232">
        <v>229</v>
      </c>
      <c r="B232" t="s">
        <v>574</v>
      </c>
      <c r="C232" s="29">
        <v>8.4087731481481479E-3</v>
      </c>
      <c r="D232" s="29">
        <v>8.4261458333333341E-3</v>
      </c>
      <c r="E232" t="b">
        <f t="shared" si="3"/>
        <v>1</v>
      </c>
      <c r="K232">
        <v>229</v>
      </c>
      <c r="L232" t="s">
        <v>574</v>
      </c>
      <c r="M232" s="29">
        <v>8.4087615740740754E-3</v>
      </c>
      <c r="N232" s="29">
        <v>8.4246874999999999E-3</v>
      </c>
    </row>
    <row r="233" spans="1:14" hidden="1" x14ac:dyDescent="0.3">
      <c r="A233">
        <v>230</v>
      </c>
      <c r="B233" t="s">
        <v>575</v>
      </c>
      <c r="C233" s="29">
        <v>8.4266319444444449E-3</v>
      </c>
      <c r="D233" s="29">
        <v>8.4420833333333327E-3</v>
      </c>
      <c r="E233" t="b">
        <f t="shared" si="3"/>
        <v>1</v>
      </c>
      <c r="K233">
        <v>230</v>
      </c>
      <c r="L233" t="s">
        <v>575</v>
      </c>
      <c r="M233" s="29">
        <v>8.426620370370369E-3</v>
      </c>
      <c r="N233" s="29">
        <v>8.4406250000000002E-3</v>
      </c>
    </row>
    <row r="234" spans="1:14" hidden="1" x14ac:dyDescent="0.3">
      <c r="A234">
        <v>231</v>
      </c>
      <c r="B234" t="s">
        <v>576</v>
      </c>
      <c r="C234" s="29">
        <v>8.4425694444444435E-3</v>
      </c>
      <c r="D234" s="29">
        <v>8.460902777777779E-3</v>
      </c>
      <c r="E234" t="b">
        <f t="shared" si="3"/>
        <v>1</v>
      </c>
      <c r="K234">
        <v>231</v>
      </c>
      <c r="L234" t="s">
        <v>576</v>
      </c>
      <c r="M234" s="29">
        <v>8.4425578703703711E-3</v>
      </c>
      <c r="N234" s="29">
        <v>8.4608912037037031E-3</v>
      </c>
    </row>
    <row r="235" spans="1:14" hidden="1" x14ac:dyDescent="0.3">
      <c r="A235">
        <v>232</v>
      </c>
      <c r="B235" t="s">
        <v>577</v>
      </c>
      <c r="C235" s="29">
        <v>8.536215277777778E-3</v>
      </c>
      <c r="D235" s="29">
        <v>8.569039351851852E-3</v>
      </c>
      <c r="E235" t="b">
        <f t="shared" si="3"/>
        <v>1</v>
      </c>
      <c r="K235">
        <v>232</v>
      </c>
      <c r="L235" t="s">
        <v>577</v>
      </c>
      <c r="M235" s="29">
        <v>8.5362037037037038E-3</v>
      </c>
      <c r="N235" s="29">
        <v>8.5690277777777778E-3</v>
      </c>
    </row>
    <row r="236" spans="1:14" hidden="1" x14ac:dyDescent="0.3">
      <c r="A236">
        <v>233</v>
      </c>
      <c r="B236" t="s">
        <v>578</v>
      </c>
      <c r="C236" s="29">
        <v>8.6004166666666677E-3</v>
      </c>
      <c r="D236" s="29">
        <v>8.6139351851851863E-3</v>
      </c>
      <c r="E236" t="b">
        <f t="shared" si="3"/>
        <v>1</v>
      </c>
      <c r="K236">
        <v>233</v>
      </c>
      <c r="L236" t="s">
        <v>578</v>
      </c>
      <c r="M236" s="29">
        <v>8.5984722222222226E-3</v>
      </c>
      <c r="N236" s="29">
        <v>8.6105439814814812E-3</v>
      </c>
    </row>
    <row r="237" spans="1:14" hidden="1" x14ac:dyDescent="0.3">
      <c r="A237">
        <v>234</v>
      </c>
      <c r="B237" t="s">
        <v>579</v>
      </c>
      <c r="C237" s="29">
        <v>8.6144212962962971E-3</v>
      </c>
      <c r="D237" s="29">
        <v>8.6298611111111107E-3</v>
      </c>
      <c r="E237" t="b">
        <f t="shared" si="3"/>
        <v>1</v>
      </c>
      <c r="K237">
        <v>234</v>
      </c>
      <c r="L237" t="s">
        <v>579</v>
      </c>
      <c r="M237" s="29">
        <v>8.6124768518518521E-3</v>
      </c>
      <c r="N237" s="29">
        <v>8.6284027777777782E-3</v>
      </c>
    </row>
    <row r="238" spans="1:14" hidden="1" x14ac:dyDescent="0.3">
      <c r="A238">
        <v>235</v>
      </c>
      <c r="B238" t="s">
        <v>580</v>
      </c>
      <c r="C238" s="29">
        <v>8.6303472222222233E-3</v>
      </c>
      <c r="D238" s="29">
        <v>8.6665509259259248E-3</v>
      </c>
      <c r="E238" t="b">
        <f t="shared" si="3"/>
        <v>1</v>
      </c>
      <c r="K238">
        <v>235</v>
      </c>
      <c r="L238" t="s">
        <v>580</v>
      </c>
      <c r="M238" s="29">
        <v>8.6303356481481491E-3</v>
      </c>
      <c r="N238" s="29">
        <v>8.6650925925925923E-3</v>
      </c>
    </row>
    <row r="239" spans="1:14" hidden="1" x14ac:dyDescent="0.3">
      <c r="A239">
        <v>236</v>
      </c>
      <c r="B239" t="s">
        <v>581</v>
      </c>
      <c r="C239" s="29">
        <v>8.6670370370370373E-3</v>
      </c>
      <c r="D239" s="29">
        <v>8.6916550925925928E-3</v>
      </c>
      <c r="E239" t="b">
        <f t="shared" si="3"/>
        <v>1</v>
      </c>
      <c r="K239">
        <v>236</v>
      </c>
      <c r="L239" t="s">
        <v>581</v>
      </c>
      <c r="M239" s="29">
        <v>8.6670254629629632E-3</v>
      </c>
      <c r="N239" s="29">
        <v>8.6901967592592586E-3</v>
      </c>
    </row>
    <row r="240" spans="1:14" hidden="1" x14ac:dyDescent="0.3">
      <c r="A240">
        <v>237</v>
      </c>
      <c r="B240" t="s">
        <v>582</v>
      </c>
      <c r="C240" s="29">
        <v>8.6921412037037037E-3</v>
      </c>
      <c r="D240" s="29">
        <v>8.7273726851851852E-3</v>
      </c>
      <c r="E240" t="b">
        <f t="shared" si="3"/>
        <v>1</v>
      </c>
      <c r="K240">
        <v>237</v>
      </c>
      <c r="L240" t="s">
        <v>582</v>
      </c>
      <c r="M240" s="30">
        <v>8.6921296296296295E-3</v>
      </c>
      <c r="N240" s="29">
        <v>8.7273611111111111E-3</v>
      </c>
    </row>
    <row r="241" spans="1:14" hidden="1" x14ac:dyDescent="0.3">
      <c r="A241">
        <v>238</v>
      </c>
      <c r="B241" t="s">
        <v>583</v>
      </c>
      <c r="C241" s="29">
        <v>8.7399305555555563E-3</v>
      </c>
      <c r="D241" s="29">
        <v>8.753449074074075E-3</v>
      </c>
      <c r="E241" t="b">
        <f t="shared" si="3"/>
        <v>1</v>
      </c>
      <c r="K241">
        <v>238</v>
      </c>
      <c r="L241" t="s">
        <v>583</v>
      </c>
      <c r="M241" s="29">
        <v>8.7399189814814822E-3</v>
      </c>
      <c r="N241" s="29">
        <v>8.7519907407407407E-3</v>
      </c>
    </row>
    <row r="242" spans="1:14" hidden="1" x14ac:dyDescent="0.3">
      <c r="A242">
        <v>239</v>
      </c>
      <c r="B242" t="s">
        <v>584</v>
      </c>
      <c r="C242" s="29">
        <v>8.7539236111111099E-3</v>
      </c>
      <c r="D242" s="29">
        <v>8.7857870370370364E-3</v>
      </c>
      <c r="E242" t="b">
        <f t="shared" si="3"/>
        <v>1</v>
      </c>
      <c r="K242">
        <v>239</v>
      </c>
      <c r="L242" t="s">
        <v>584</v>
      </c>
      <c r="M242" s="29">
        <v>8.7539120370370375E-3</v>
      </c>
      <c r="N242" s="29">
        <v>8.7843287037037039E-3</v>
      </c>
    </row>
    <row r="243" spans="1:14" hidden="1" x14ac:dyDescent="0.3">
      <c r="A243">
        <v>240</v>
      </c>
      <c r="B243" t="s">
        <v>585</v>
      </c>
      <c r="C243" s="29">
        <v>8.786273148148149E-3</v>
      </c>
      <c r="D243" s="29">
        <v>8.8181365740740737E-3</v>
      </c>
      <c r="E243" t="b">
        <f t="shared" si="3"/>
        <v>1</v>
      </c>
      <c r="K243">
        <v>240</v>
      </c>
      <c r="L243" t="s">
        <v>585</v>
      </c>
      <c r="M243" s="29">
        <v>8.7862615740740748E-3</v>
      </c>
      <c r="N243" s="29">
        <v>8.8181249999999996E-3</v>
      </c>
    </row>
    <row r="244" spans="1:14" hidden="1" x14ac:dyDescent="0.3">
      <c r="A244">
        <v>241</v>
      </c>
      <c r="B244" t="s">
        <v>586</v>
      </c>
      <c r="C244" s="29">
        <v>8.8287499999999998E-3</v>
      </c>
      <c r="D244" s="29">
        <v>8.8693055555555556E-3</v>
      </c>
      <c r="E244" t="b">
        <f t="shared" si="3"/>
        <v>1</v>
      </c>
      <c r="K244">
        <v>241</v>
      </c>
      <c r="L244" t="s">
        <v>586</v>
      </c>
      <c r="M244" s="29">
        <v>8.8287384259259256E-3</v>
      </c>
      <c r="N244" s="29">
        <v>8.8692939814814815E-3</v>
      </c>
    </row>
    <row r="245" spans="1:14" hidden="1" x14ac:dyDescent="0.3">
      <c r="A245">
        <v>242</v>
      </c>
      <c r="B245" t="s">
        <v>587</v>
      </c>
      <c r="C245" s="29">
        <v>8.8741319444444449E-3</v>
      </c>
      <c r="D245" s="29">
        <v>8.9195023148148141E-3</v>
      </c>
      <c r="E245" t="b">
        <f t="shared" si="3"/>
        <v>1</v>
      </c>
      <c r="K245">
        <v>242</v>
      </c>
      <c r="L245" t="s">
        <v>587</v>
      </c>
      <c r="M245" s="29">
        <v>8.8741203703703708E-3</v>
      </c>
      <c r="N245" s="29">
        <v>8.9180439814814817E-3</v>
      </c>
    </row>
    <row r="246" spans="1:14" hidden="1" x14ac:dyDescent="0.3">
      <c r="A246">
        <v>243</v>
      </c>
      <c r="B246" t="s">
        <v>588</v>
      </c>
      <c r="C246" s="29">
        <v>8.9199884259259267E-3</v>
      </c>
      <c r="D246" s="29">
        <v>8.9344675925925928E-3</v>
      </c>
      <c r="E246" t="b">
        <f t="shared" si="3"/>
        <v>1</v>
      </c>
      <c r="K246">
        <v>243</v>
      </c>
      <c r="L246" t="s">
        <v>588</v>
      </c>
      <c r="M246" s="29">
        <v>8.9199768518518525E-3</v>
      </c>
      <c r="N246" s="29">
        <v>8.9330092592592586E-3</v>
      </c>
    </row>
    <row r="247" spans="1:14" hidden="1" x14ac:dyDescent="0.3">
      <c r="A247">
        <v>244</v>
      </c>
      <c r="B247" t="s">
        <v>589</v>
      </c>
      <c r="C247" s="29">
        <v>8.9349537037037036E-3</v>
      </c>
      <c r="D247" s="29">
        <v>8.9663310185185193E-3</v>
      </c>
      <c r="E247" t="b">
        <f t="shared" si="3"/>
        <v>1</v>
      </c>
      <c r="K247">
        <v>244</v>
      </c>
      <c r="L247" t="s">
        <v>589</v>
      </c>
      <c r="M247" s="29">
        <v>8.9349421296296295E-3</v>
      </c>
      <c r="N247" s="29">
        <v>8.9648726851851851E-3</v>
      </c>
    </row>
    <row r="248" spans="1:14" hidden="1" x14ac:dyDescent="0.3">
      <c r="A248">
        <v>245</v>
      </c>
      <c r="B248" t="s">
        <v>590</v>
      </c>
      <c r="C248" s="29">
        <v>8.9668171296296284E-3</v>
      </c>
      <c r="D248" s="29">
        <v>8.9914351851851856E-3</v>
      </c>
      <c r="E248" t="b">
        <f t="shared" si="3"/>
        <v>1</v>
      </c>
      <c r="K248">
        <v>245</v>
      </c>
      <c r="L248" t="s">
        <v>590</v>
      </c>
      <c r="M248" s="29">
        <v>8.966805555555556E-3</v>
      </c>
      <c r="N248" s="29">
        <v>8.9899768518518514E-3</v>
      </c>
    </row>
    <row r="249" spans="1:14" hidden="1" x14ac:dyDescent="0.3">
      <c r="A249">
        <v>246</v>
      </c>
      <c r="B249" t="s">
        <v>591</v>
      </c>
      <c r="C249" s="29">
        <v>8.9919212962962965E-3</v>
      </c>
      <c r="D249" s="29">
        <v>9.0247453703703705E-3</v>
      </c>
      <c r="E249" t="b">
        <f t="shared" si="3"/>
        <v>1</v>
      </c>
      <c r="K249">
        <v>246</v>
      </c>
      <c r="L249" t="s">
        <v>591</v>
      </c>
      <c r="M249" s="29">
        <v>8.9919097222222223E-3</v>
      </c>
      <c r="N249" s="29">
        <v>9.0232870370370363E-3</v>
      </c>
    </row>
    <row r="250" spans="1:14" hidden="1" x14ac:dyDescent="0.3">
      <c r="A250">
        <v>247</v>
      </c>
      <c r="B250" t="s">
        <v>592</v>
      </c>
      <c r="C250" s="29">
        <v>9.0252199074074071E-3</v>
      </c>
      <c r="D250" s="29">
        <v>9.0537037037037044E-3</v>
      </c>
      <c r="E250" t="b">
        <f t="shared" si="3"/>
        <v>1</v>
      </c>
      <c r="K250">
        <v>247</v>
      </c>
      <c r="L250" t="s">
        <v>592</v>
      </c>
      <c r="M250" s="29">
        <v>9.025208333333333E-3</v>
      </c>
      <c r="N250" s="29">
        <v>9.0522453703703702E-3</v>
      </c>
    </row>
    <row r="251" spans="1:14" hidden="1" x14ac:dyDescent="0.3">
      <c r="A251">
        <v>248</v>
      </c>
      <c r="B251" t="s">
        <v>593</v>
      </c>
      <c r="C251" s="29">
        <v>9.0541898148148153E-3</v>
      </c>
      <c r="D251" s="29">
        <v>9.0768749999999999E-3</v>
      </c>
      <c r="E251" t="b">
        <f t="shared" si="3"/>
        <v>1</v>
      </c>
      <c r="K251">
        <v>248</v>
      </c>
      <c r="L251" t="s">
        <v>593</v>
      </c>
      <c r="M251" s="29">
        <v>9.0541782407407394E-3</v>
      </c>
      <c r="N251" s="29">
        <v>9.0768634259259257E-3</v>
      </c>
    </row>
    <row r="252" spans="1:14" hidden="1" x14ac:dyDescent="0.3">
      <c r="A252">
        <v>249</v>
      </c>
      <c r="B252" t="s">
        <v>594</v>
      </c>
      <c r="C252" s="29">
        <v>9.0826736111111125E-3</v>
      </c>
      <c r="D252" s="29">
        <v>9.1203240740740741E-3</v>
      </c>
      <c r="E252" t="b">
        <f t="shared" si="3"/>
        <v>1</v>
      </c>
      <c r="K252">
        <v>249</v>
      </c>
      <c r="L252" t="s">
        <v>594</v>
      </c>
      <c r="M252" s="29">
        <v>9.0826620370370367E-3</v>
      </c>
      <c r="N252" s="29">
        <v>9.1188657407407416E-3</v>
      </c>
    </row>
    <row r="253" spans="1:14" hidden="1" x14ac:dyDescent="0.3">
      <c r="A253">
        <v>250</v>
      </c>
      <c r="B253" t="s">
        <v>595</v>
      </c>
      <c r="C253" s="29">
        <v>9.1208101851851849E-3</v>
      </c>
      <c r="D253" s="29">
        <v>9.1463888888888897E-3</v>
      </c>
      <c r="E253" t="b">
        <f t="shared" si="3"/>
        <v>1</v>
      </c>
      <c r="K253">
        <v>250</v>
      </c>
      <c r="L253" t="s">
        <v>595</v>
      </c>
      <c r="M253" s="29">
        <v>9.1207986111111108E-3</v>
      </c>
      <c r="N253" s="29">
        <v>9.1449305555555555E-3</v>
      </c>
    </row>
    <row r="254" spans="1:14" hidden="1" x14ac:dyDescent="0.3">
      <c r="A254">
        <v>251</v>
      </c>
      <c r="B254" t="s">
        <v>596</v>
      </c>
      <c r="C254" s="29">
        <v>9.1468749999999988E-3</v>
      </c>
      <c r="D254" s="29">
        <v>9.1912847222222222E-3</v>
      </c>
      <c r="E254" t="b">
        <f t="shared" si="3"/>
        <v>1</v>
      </c>
      <c r="K254">
        <v>251</v>
      </c>
      <c r="L254" t="s">
        <v>596</v>
      </c>
      <c r="M254" s="29">
        <v>9.1468634259259263E-3</v>
      </c>
      <c r="N254" s="29">
        <v>9.189826388888888E-3</v>
      </c>
    </row>
    <row r="255" spans="1:14" hidden="1" x14ac:dyDescent="0.3">
      <c r="A255">
        <v>252</v>
      </c>
      <c r="B255" t="s">
        <v>597</v>
      </c>
      <c r="C255" s="29">
        <v>9.191770833333333E-3</v>
      </c>
      <c r="D255" s="29">
        <v>9.2289351851851855E-3</v>
      </c>
      <c r="E255" t="b">
        <f t="shared" si="3"/>
        <v>1</v>
      </c>
      <c r="K255">
        <v>252</v>
      </c>
      <c r="L255" t="s">
        <v>597</v>
      </c>
      <c r="M255" s="29">
        <v>9.1917592592592589E-3</v>
      </c>
      <c r="N255" s="29">
        <v>9.2274768518518513E-3</v>
      </c>
    </row>
    <row r="256" spans="1:14" hidden="1" x14ac:dyDescent="0.3">
      <c r="A256">
        <v>253</v>
      </c>
      <c r="B256" t="s">
        <v>598</v>
      </c>
      <c r="C256" s="29">
        <v>9.2294212962962963E-3</v>
      </c>
      <c r="D256" s="29">
        <v>9.2583912037037027E-3</v>
      </c>
      <c r="E256" t="b">
        <f t="shared" si="3"/>
        <v>1</v>
      </c>
      <c r="K256">
        <v>253</v>
      </c>
      <c r="L256" t="s">
        <v>598</v>
      </c>
      <c r="M256" s="29">
        <v>9.2294097222222222E-3</v>
      </c>
      <c r="N256" s="29">
        <v>9.2583796296296286E-3</v>
      </c>
    </row>
    <row r="257" spans="1:14" hidden="1" x14ac:dyDescent="0.3">
      <c r="A257">
        <v>254</v>
      </c>
      <c r="B257" t="s">
        <v>599</v>
      </c>
      <c r="C257" s="29">
        <v>9.2733564814814814E-3</v>
      </c>
      <c r="D257" s="29">
        <v>9.2902430555555551E-3</v>
      </c>
      <c r="E257" t="b">
        <f t="shared" si="3"/>
        <v>1</v>
      </c>
      <c r="K257">
        <v>254</v>
      </c>
      <c r="L257" t="s">
        <v>599</v>
      </c>
      <c r="M257" s="29">
        <v>9.2733449074074072E-3</v>
      </c>
      <c r="N257" s="29">
        <v>9.2902314814814826E-3</v>
      </c>
    </row>
    <row r="258" spans="1:14" hidden="1" x14ac:dyDescent="0.3">
      <c r="A258">
        <v>255</v>
      </c>
      <c r="B258" t="s">
        <v>600</v>
      </c>
      <c r="C258" s="29">
        <v>9.3047337962962953E-3</v>
      </c>
      <c r="D258" s="29">
        <v>9.332245370370371E-3</v>
      </c>
      <c r="E258" t="b">
        <f t="shared" si="3"/>
        <v>1</v>
      </c>
      <c r="K258">
        <v>255</v>
      </c>
      <c r="L258" t="s">
        <v>600</v>
      </c>
      <c r="M258" s="29">
        <v>9.3047222222222229E-3</v>
      </c>
      <c r="N258" s="29">
        <v>9.3307870370370367E-3</v>
      </c>
    </row>
    <row r="259" spans="1:14" hidden="1" x14ac:dyDescent="0.3">
      <c r="A259">
        <v>256</v>
      </c>
      <c r="B259" t="s">
        <v>601</v>
      </c>
      <c r="C259" s="29">
        <v>9.3327314814814818E-3</v>
      </c>
      <c r="D259" s="29">
        <v>9.3776273148148143E-3</v>
      </c>
      <c r="E259" t="b">
        <f t="shared" si="3"/>
        <v>1</v>
      </c>
      <c r="K259">
        <v>256</v>
      </c>
      <c r="L259" t="s">
        <v>601</v>
      </c>
      <c r="M259" s="29">
        <v>9.3327199074074076E-3</v>
      </c>
      <c r="N259" s="29">
        <v>9.3776157407407402E-3</v>
      </c>
    </row>
    <row r="260" spans="1:14" hidden="1" x14ac:dyDescent="0.3">
      <c r="A260">
        <v>257</v>
      </c>
      <c r="B260" t="s">
        <v>602</v>
      </c>
      <c r="C260" s="29">
        <v>9.3858333333333346E-3</v>
      </c>
      <c r="D260" s="29">
        <v>9.4162384259259251E-3</v>
      </c>
      <c r="E260" t="b">
        <f t="shared" ref="E260:E323" si="4">B260=L260</f>
        <v>1</v>
      </c>
      <c r="K260">
        <v>257</v>
      </c>
      <c r="L260" t="s">
        <v>602</v>
      </c>
      <c r="M260" s="29">
        <v>9.3858217592592587E-3</v>
      </c>
      <c r="N260" s="29">
        <v>9.4147800925925926E-3</v>
      </c>
    </row>
    <row r="261" spans="1:14" hidden="1" x14ac:dyDescent="0.3">
      <c r="A261">
        <v>258</v>
      </c>
      <c r="B261" t="s">
        <v>603</v>
      </c>
      <c r="C261" s="29">
        <v>9.4167245370370377E-3</v>
      </c>
      <c r="D261" s="29">
        <v>9.4302430555555563E-3</v>
      </c>
      <c r="E261" t="b">
        <f t="shared" si="4"/>
        <v>1</v>
      </c>
      <c r="K261">
        <v>258</v>
      </c>
      <c r="L261" t="s">
        <v>603</v>
      </c>
      <c r="M261" s="29">
        <v>9.4167129629629635E-3</v>
      </c>
      <c r="N261" s="29">
        <v>9.4287847222222221E-3</v>
      </c>
    </row>
    <row r="262" spans="1:14" hidden="1" x14ac:dyDescent="0.3">
      <c r="A262">
        <v>259</v>
      </c>
      <c r="B262" t="s">
        <v>604</v>
      </c>
      <c r="C262" s="29">
        <v>9.430717592592593E-3</v>
      </c>
      <c r="D262" s="29">
        <v>9.458240740740741E-3</v>
      </c>
      <c r="E262" t="b">
        <f t="shared" si="4"/>
        <v>1</v>
      </c>
      <c r="K262">
        <v>259</v>
      </c>
      <c r="L262" t="s">
        <v>604</v>
      </c>
      <c r="M262" s="29">
        <v>9.4307060185185188E-3</v>
      </c>
      <c r="N262" s="29">
        <v>9.4582291666666669E-3</v>
      </c>
    </row>
    <row r="263" spans="1:14" hidden="1" x14ac:dyDescent="0.3">
      <c r="A263">
        <v>260</v>
      </c>
      <c r="B263" t="s">
        <v>605</v>
      </c>
      <c r="C263" s="29">
        <v>9.4804398148148148E-3</v>
      </c>
      <c r="D263" s="29">
        <v>9.510856481481483E-3</v>
      </c>
      <c r="E263" t="b">
        <f t="shared" si="4"/>
        <v>1</v>
      </c>
      <c r="K263">
        <v>260</v>
      </c>
      <c r="L263" t="s">
        <v>605</v>
      </c>
      <c r="M263" s="29">
        <v>9.4804282407407407E-3</v>
      </c>
      <c r="N263" s="29">
        <v>9.509398148148147E-3</v>
      </c>
    </row>
    <row r="264" spans="1:14" hidden="1" x14ac:dyDescent="0.3">
      <c r="A264">
        <v>261</v>
      </c>
      <c r="B264" t="s">
        <v>606</v>
      </c>
      <c r="C264" s="29">
        <v>9.5113425925925921E-3</v>
      </c>
      <c r="D264" s="29">
        <v>9.5243749999999999E-3</v>
      </c>
      <c r="E264" t="b">
        <f t="shared" si="4"/>
        <v>1</v>
      </c>
      <c r="K264">
        <v>261</v>
      </c>
      <c r="L264" t="s">
        <v>606</v>
      </c>
      <c r="M264" s="29">
        <v>9.5113310185185179E-3</v>
      </c>
      <c r="N264" s="29">
        <v>9.5243634259259257E-3</v>
      </c>
    </row>
    <row r="265" spans="1:14" hidden="1" x14ac:dyDescent="0.3">
      <c r="A265">
        <v>262</v>
      </c>
      <c r="B265" t="s">
        <v>607</v>
      </c>
      <c r="C265" s="29">
        <v>9.5383680555555551E-3</v>
      </c>
      <c r="D265" s="29">
        <v>9.5885763888888878E-3</v>
      </c>
      <c r="E265" t="b">
        <f t="shared" si="4"/>
        <v>1</v>
      </c>
      <c r="K265">
        <v>262</v>
      </c>
      <c r="L265" t="s">
        <v>607</v>
      </c>
      <c r="M265" s="29">
        <v>9.5383564814814827E-3</v>
      </c>
      <c r="N265" s="29">
        <v>9.5871180555555553E-3</v>
      </c>
    </row>
    <row r="266" spans="1:14" hidden="1" x14ac:dyDescent="0.3">
      <c r="A266">
        <v>263</v>
      </c>
      <c r="B266" t="s">
        <v>608</v>
      </c>
      <c r="C266" s="29">
        <v>9.5890625000000004E-3</v>
      </c>
      <c r="D266" s="29">
        <v>9.604502314814814E-3</v>
      </c>
      <c r="E266" t="b">
        <f t="shared" si="4"/>
        <v>1</v>
      </c>
      <c r="K266">
        <v>263</v>
      </c>
      <c r="L266" t="s">
        <v>608</v>
      </c>
      <c r="M266" s="29">
        <v>9.5890509259259262E-3</v>
      </c>
      <c r="N266" s="29">
        <v>9.6030439814814815E-3</v>
      </c>
    </row>
    <row r="267" spans="1:14" hidden="1" x14ac:dyDescent="0.3">
      <c r="A267">
        <v>264</v>
      </c>
      <c r="B267" t="s">
        <v>609</v>
      </c>
      <c r="C267" s="29">
        <v>9.6049884259259265E-3</v>
      </c>
      <c r="D267" s="29">
        <v>9.6310532407407421E-3</v>
      </c>
      <c r="E267" t="b">
        <f t="shared" si="4"/>
        <v>1</v>
      </c>
      <c r="K267">
        <v>264</v>
      </c>
      <c r="L267" t="s">
        <v>609</v>
      </c>
      <c r="M267" s="29">
        <v>9.6049768518518524E-3</v>
      </c>
      <c r="N267" s="29">
        <v>9.6295949074074062E-3</v>
      </c>
    </row>
    <row r="268" spans="1:14" hidden="1" x14ac:dyDescent="0.3">
      <c r="A268">
        <v>265</v>
      </c>
      <c r="B268" t="s">
        <v>610</v>
      </c>
      <c r="C268" s="29">
        <v>9.6315393518518512E-3</v>
      </c>
      <c r="D268" s="30">
        <v>9.6527777777777775E-3</v>
      </c>
      <c r="E268" t="b">
        <f t="shared" si="4"/>
        <v>1</v>
      </c>
      <c r="K268">
        <v>265</v>
      </c>
      <c r="L268" t="s">
        <v>610</v>
      </c>
      <c r="M268" s="29">
        <v>9.631527777777777E-3</v>
      </c>
      <c r="N268" s="29">
        <v>9.6527662037037033E-3</v>
      </c>
    </row>
    <row r="269" spans="1:14" hidden="1" x14ac:dyDescent="0.3">
      <c r="A269">
        <v>266</v>
      </c>
      <c r="B269" t="s">
        <v>611</v>
      </c>
      <c r="C269" s="29">
        <v>9.6759490740740729E-3</v>
      </c>
      <c r="D269" s="29">
        <v>9.6991203703703701E-3</v>
      </c>
      <c r="E269" t="b">
        <f t="shared" si="4"/>
        <v>1</v>
      </c>
      <c r="K269">
        <v>266</v>
      </c>
      <c r="L269" t="s">
        <v>611</v>
      </c>
      <c r="M269" s="29">
        <v>9.6759375000000005E-3</v>
      </c>
      <c r="N269" s="29">
        <v>9.6976620370370376E-3</v>
      </c>
    </row>
    <row r="270" spans="1:14" hidden="1" x14ac:dyDescent="0.3">
      <c r="A270">
        <v>267</v>
      </c>
      <c r="B270" t="s">
        <v>612</v>
      </c>
      <c r="C270" s="29">
        <v>9.6996064814814827E-3</v>
      </c>
      <c r="D270" s="29">
        <v>9.7343634259259258E-3</v>
      </c>
      <c r="E270" t="b">
        <f t="shared" si="4"/>
        <v>1</v>
      </c>
      <c r="K270">
        <v>267</v>
      </c>
      <c r="L270" t="s">
        <v>612</v>
      </c>
      <c r="M270" s="29">
        <v>9.6995949074074068E-3</v>
      </c>
      <c r="N270" s="29">
        <v>9.7343518518518517E-3</v>
      </c>
    </row>
    <row r="271" spans="1:14" hidden="1" x14ac:dyDescent="0.3">
      <c r="A271">
        <v>268</v>
      </c>
      <c r="B271" t="s">
        <v>613</v>
      </c>
      <c r="C271" s="29">
        <v>9.7406365740740734E-3</v>
      </c>
      <c r="D271" s="29">
        <v>9.77394675925926E-3</v>
      </c>
      <c r="E271" t="b">
        <f t="shared" si="4"/>
        <v>1</v>
      </c>
      <c r="K271">
        <v>268</v>
      </c>
      <c r="L271" t="s">
        <v>613</v>
      </c>
      <c r="M271" s="29">
        <v>9.740625000000001E-3</v>
      </c>
      <c r="N271" s="29">
        <v>9.7739351851851841E-3</v>
      </c>
    </row>
    <row r="272" spans="1:14" hidden="1" x14ac:dyDescent="0.3">
      <c r="A272">
        <v>269</v>
      </c>
      <c r="B272" t="s">
        <v>573</v>
      </c>
      <c r="C272" s="29">
        <v>9.7947106481481479E-3</v>
      </c>
      <c r="D272" s="29">
        <v>9.8082175925925923E-3</v>
      </c>
      <c r="E272" t="b">
        <f t="shared" si="4"/>
        <v>1</v>
      </c>
      <c r="K272">
        <v>269</v>
      </c>
      <c r="L272" t="s">
        <v>573</v>
      </c>
      <c r="M272" s="29">
        <v>9.7946990740740737E-3</v>
      </c>
      <c r="N272" s="29">
        <v>9.8067592592592581E-3</v>
      </c>
    </row>
    <row r="273" spans="1:14" hidden="1" x14ac:dyDescent="0.3">
      <c r="A273">
        <v>270</v>
      </c>
      <c r="B273" t="s">
        <v>614</v>
      </c>
      <c r="C273" s="29">
        <v>9.8087037037037032E-3</v>
      </c>
      <c r="D273" s="29">
        <v>9.8391203703703713E-3</v>
      </c>
      <c r="E273" t="b">
        <f t="shared" si="4"/>
        <v>1</v>
      </c>
      <c r="K273">
        <v>270</v>
      </c>
      <c r="L273" t="s">
        <v>614</v>
      </c>
      <c r="M273" s="29">
        <v>9.808692129629629E-3</v>
      </c>
      <c r="N273" s="29">
        <v>9.8376620370370371E-3</v>
      </c>
    </row>
    <row r="274" spans="1:14" hidden="1" x14ac:dyDescent="0.3">
      <c r="A274">
        <v>271</v>
      </c>
      <c r="B274" t="s">
        <v>615</v>
      </c>
      <c r="C274" s="29">
        <v>9.8395949074074063E-3</v>
      </c>
      <c r="D274" s="29">
        <v>9.8729050925925928E-3</v>
      </c>
      <c r="E274" t="b">
        <f t="shared" si="4"/>
        <v>1</v>
      </c>
      <c r="K274">
        <v>271</v>
      </c>
      <c r="L274" t="s">
        <v>615</v>
      </c>
      <c r="M274" s="29">
        <v>9.8395833333333339E-3</v>
      </c>
      <c r="N274" s="29">
        <v>9.8714467592592604E-3</v>
      </c>
    </row>
    <row r="275" spans="1:14" hidden="1" x14ac:dyDescent="0.3">
      <c r="A275">
        <v>272</v>
      </c>
      <c r="B275" t="s">
        <v>616</v>
      </c>
      <c r="C275" s="29">
        <v>9.8733912037037037E-3</v>
      </c>
      <c r="D275" s="29">
        <v>9.8917361111111098E-3</v>
      </c>
      <c r="E275" t="b">
        <f t="shared" si="4"/>
        <v>1</v>
      </c>
      <c r="K275">
        <v>272</v>
      </c>
      <c r="L275" t="s">
        <v>616</v>
      </c>
      <c r="M275" s="29">
        <v>9.8733796296296295E-3</v>
      </c>
      <c r="N275" s="29">
        <v>9.8902777777777773E-3</v>
      </c>
    </row>
    <row r="276" spans="1:14" hidden="1" x14ac:dyDescent="0.3">
      <c r="A276">
        <v>273</v>
      </c>
      <c r="B276" t="s">
        <v>617</v>
      </c>
      <c r="C276" s="29">
        <v>9.8922222222222224E-3</v>
      </c>
      <c r="D276" s="29">
        <v>9.9158680555555562E-3</v>
      </c>
      <c r="E276" t="b">
        <f t="shared" si="4"/>
        <v>1</v>
      </c>
      <c r="K276">
        <v>273</v>
      </c>
      <c r="L276" t="s">
        <v>617</v>
      </c>
      <c r="M276" s="29">
        <v>9.8922106481481482E-3</v>
      </c>
      <c r="N276" s="29">
        <v>9.9158564814814821E-3</v>
      </c>
    </row>
    <row r="277" spans="1:14" hidden="1" x14ac:dyDescent="0.3">
      <c r="A277">
        <v>274</v>
      </c>
      <c r="B277" t="s">
        <v>618</v>
      </c>
      <c r="C277" s="29">
        <v>9.9226273148148147E-3</v>
      </c>
      <c r="D277" s="29">
        <v>9.9564236111111121E-3</v>
      </c>
      <c r="E277" t="b">
        <f t="shared" si="4"/>
        <v>1</v>
      </c>
      <c r="K277">
        <v>274</v>
      </c>
      <c r="L277" t="s">
        <v>618</v>
      </c>
      <c r="M277" s="29">
        <v>9.9226157407407405E-3</v>
      </c>
      <c r="N277" s="29">
        <v>9.9549652777777779E-3</v>
      </c>
    </row>
    <row r="278" spans="1:14" hidden="1" x14ac:dyDescent="0.3">
      <c r="A278">
        <v>275</v>
      </c>
      <c r="B278" t="s">
        <v>619</v>
      </c>
      <c r="C278" s="29">
        <v>9.9569097222222229E-3</v>
      </c>
      <c r="D278" s="29">
        <v>9.9868287037037026E-3</v>
      </c>
      <c r="E278" t="b">
        <f t="shared" si="4"/>
        <v>1</v>
      </c>
      <c r="K278">
        <v>275</v>
      </c>
      <c r="L278" t="s">
        <v>619</v>
      </c>
      <c r="M278" s="29">
        <v>9.956898148148147E-3</v>
      </c>
      <c r="N278" s="29">
        <v>9.9853703703703701E-3</v>
      </c>
    </row>
    <row r="279" spans="1:14" hidden="1" x14ac:dyDescent="0.3">
      <c r="A279">
        <v>276</v>
      </c>
      <c r="B279" t="s">
        <v>620</v>
      </c>
      <c r="C279" s="29">
        <v>9.9873148148148152E-3</v>
      </c>
      <c r="D279" s="29">
        <v>1.0017731481481482E-2</v>
      </c>
      <c r="E279" t="b">
        <f t="shared" si="4"/>
        <v>1</v>
      </c>
      <c r="K279">
        <v>276</v>
      </c>
      <c r="L279" t="s">
        <v>620</v>
      </c>
      <c r="M279" s="29">
        <v>9.987303240740741E-3</v>
      </c>
      <c r="N279" s="29">
        <v>1.0017719907407407E-2</v>
      </c>
    </row>
    <row r="280" spans="1:14" hidden="1" x14ac:dyDescent="0.3">
      <c r="A280">
        <v>277</v>
      </c>
      <c r="B280" t="s">
        <v>621</v>
      </c>
      <c r="C280" s="29">
        <v>1.0026898148148148E-2</v>
      </c>
      <c r="D280" s="29">
        <v>1.0063587962962963E-2</v>
      </c>
      <c r="E280" t="b">
        <f t="shared" si="4"/>
        <v>1</v>
      </c>
      <c r="K280">
        <v>277</v>
      </c>
      <c r="L280" t="s">
        <v>621</v>
      </c>
      <c r="M280" s="29">
        <v>1.0026886574074073E-2</v>
      </c>
      <c r="N280" s="29">
        <v>1.0062129629629631E-2</v>
      </c>
    </row>
    <row r="281" spans="1:14" hidden="1" x14ac:dyDescent="0.3">
      <c r="A281">
        <v>278</v>
      </c>
      <c r="B281" t="s">
        <v>622</v>
      </c>
      <c r="C281" s="29">
        <v>1.0064074074074074E-2</v>
      </c>
      <c r="D281" s="29">
        <v>1.0086273148148148E-2</v>
      </c>
      <c r="E281" t="b">
        <f t="shared" si="4"/>
        <v>1</v>
      </c>
      <c r="K281">
        <v>278</v>
      </c>
      <c r="L281" t="s">
        <v>622</v>
      </c>
      <c r="M281" s="29">
        <v>1.00640625E-2</v>
      </c>
      <c r="N281" s="29">
        <v>1.0084814814814814E-2</v>
      </c>
    </row>
    <row r="282" spans="1:14" hidden="1" x14ac:dyDescent="0.3">
      <c r="A282">
        <v>279</v>
      </c>
      <c r="B282" t="s">
        <v>623</v>
      </c>
      <c r="C282" s="29">
        <v>1.0086759259259259E-2</v>
      </c>
      <c r="D282" s="29">
        <v>1.0102210648148148E-2</v>
      </c>
      <c r="E282" t="b">
        <f t="shared" si="4"/>
        <v>1</v>
      </c>
      <c r="K282">
        <v>279</v>
      </c>
      <c r="L282" t="s">
        <v>623</v>
      </c>
      <c r="M282" s="29">
        <v>1.0086747685185185E-2</v>
      </c>
      <c r="N282" s="29">
        <v>1.0102199074074074E-2</v>
      </c>
    </row>
    <row r="283" spans="1:14" hidden="1" x14ac:dyDescent="0.3">
      <c r="A283">
        <v>280</v>
      </c>
      <c r="B283" t="s">
        <v>624</v>
      </c>
      <c r="C283" s="29">
        <v>1.0117650462962962E-2</v>
      </c>
      <c r="D283" s="29">
        <v>1.0143726851851852E-2</v>
      </c>
      <c r="E283" t="b">
        <f t="shared" si="4"/>
        <v>1</v>
      </c>
      <c r="K283">
        <v>280</v>
      </c>
      <c r="L283" t="s">
        <v>624</v>
      </c>
      <c r="M283" s="29">
        <v>1.011763888888889E-2</v>
      </c>
      <c r="N283" s="29">
        <v>1.0143715277777778E-2</v>
      </c>
    </row>
    <row r="284" spans="1:14" hidden="1" x14ac:dyDescent="0.3">
      <c r="A284">
        <v>281</v>
      </c>
      <c r="B284" t="s">
        <v>625</v>
      </c>
      <c r="C284" s="29">
        <v>1.016351851851852E-2</v>
      </c>
      <c r="D284" s="29">
        <v>1.020068287037037E-2</v>
      </c>
      <c r="E284" t="b">
        <f t="shared" si="4"/>
        <v>1</v>
      </c>
      <c r="K284">
        <v>281</v>
      </c>
      <c r="L284" t="s">
        <v>625</v>
      </c>
      <c r="M284" s="29">
        <v>1.0163506944444444E-2</v>
      </c>
      <c r="N284" s="29">
        <v>1.0199224537037036E-2</v>
      </c>
    </row>
    <row r="285" spans="1:14" ht="28.8" x14ac:dyDescent="0.3">
      <c r="A285">
        <v>282</v>
      </c>
      <c r="B285" s="23" t="s">
        <v>626</v>
      </c>
      <c r="C285" s="29">
        <v>1.0201168981481481E-2</v>
      </c>
      <c r="D285" s="29">
        <v>1.0224340277777778E-2</v>
      </c>
      <c r="E285" t="b">
        <f t="shared" si="4"/>
        <v>0</v>
      </c>
      <c r="K285">
        <v>282</v>
      </c>
      <c r="L285" s="23" t="s">
        <v>787</v>
      </c>
      <c r="M285" s="29">
        <v>1.0201157407407407E-2</v>
      </c>
      <c r="N285" s="29">
        <v>1.0222881944444444E-2</v>
      </c>
    </row>
    <row r="286" spans="1:14" hidden="1" x14ac:dyDescent="0.3">
      <c r="A286">
        <v>283</v>
      </c>
      <c r="B286" t="s">
        <v>627</v>
      </c>
      <c r="C286" s="29">
        <v>1.0224826388888889E-2</v>
      </c>
      <c r="D286" s="29">
        <v>1.0254756944444445E-2</v>
      </c>
      <c r="E286" t="b">
        <f t="shared" si="4"/>
        <v>1</v>
      </c>
      <c r="K286">
        <v>283</v>
      </c>
      <c r="L286" t="s">
        <v>627</v>
      </c>
      <c r="M286" s="29">
        <v>1.0224814814814815E-2</v>
      </c>
      <c r="N286" s="29">
        <v>1.0253298611111111E-2</v>
      </c>
    </row>
    <row r="287" spans="1:14" hidden="1" x14ac:dyDescent="0.3">
      <c r="A287">
        <v>284</v>
      </c>
      <c r="B287" t="s">
        <v>628</v>
      </c>
      <c r="C287" s="29">
        <v>1.0255231481481481E-2</v>
      </c>
      <c r="D287" s="29">
        <v>1.0288055555555555E-2</v>
      </c>
      <c r="E287" t="b">
        <f t="shared" si="4"/>
        <v>1</v>
      </c>
      <c r="K287">
        <v>284</v>
      </c>
      <c r="L287" t="s">
        <v>628</v>
      </c>
      <c r="M287" s="29">
        <v>1.0255219907407407E-2</v>
      </c>
      <c r="N287" s="29">
        <v>1.0288055555555555E-2</v>
      </c>
    </row>
    <row r="288" spans="1:14" hidden="1" x14ac:dyDescent="0.3">
      <c r="A288">
        <v>285</v>
      </c>
      <c r="B288" t="s">
        <v>629</v>
      </c>
      <c r="C288" s="29">
        <v>1.0297233796296297E-2</v>
      </c>
      <c r="D288" s="29">
        <v>1.0332476851851851E-2</v>
      </c>
      <c r="E288" t="b">
        <f t="shared" si="4"/>
        <v>1</v>
      </c>
      <c r="K288">
        <v>285</v>
      </c>
      <c r="L288" t="s">
        <v>629</v>
      </c>
      <c r="M288" s="29">
        <v>1.0297222222222221E-2</v>
      </c>
      <c r="N288" s="29">
        <v>1.0331018518518519E-2</v>
      </c>
    </row>
    <row r="289" spans="1:14" x14ac:dyDescent="0.3">
      <c r="A289">
        <v>286</v>
      </c>
      <c r="B289" s="23" t="s">
        <v>630</v>
      </c>
      <c r="C289" s="29">
        <v>1.033295138888889E-2</v>
      </c>
      <c r="D289" s="29">
        <v>1.0358055555555556E-2</v>
      </c>
      <c r="E289" t="b">
        <f t="shared" si="4"/>
        <v>0</v>
      </c>
      <c r="K289">
        <v>286</v>
      </c>
      <c r="L289" s="23" t="s">
        <v>788</v>
      </c>
      <c r="M289" s="29">
        <v>1.0332939814814814E-2</v>
      </c>
      <c r="N289" s="29">
        <v>1.0356597222222222E-2</v>
      </c>
    </row>
    <row r="290" spans="1:14" hidden="1" x14ac:dyDescent="0.3">
      <c r="A290">
        <v>287</v>
      </c>
      <c r="B290" t="s">
        <v>631</v>
      </c>
      <c r="C290" s="29">
        <v>1.0358541666666667E-2</v>
      </c>
      <c r="D290" s="29">
        <v>1.0378333333333333E-2</v>
      </c>
      <c r="E290" t="b">
        <f t="shared" si="4"/>
        <v>1</v>
      </c>
      <c r="K290">
        <v>287</v>
      </c>
      <c r="L290" t="s">
        <v>631</v>
      </c>
      <c r="M290" s="29">
        <v>1.0358530092592593E-2</v>
      </c>
      <c r="N290" s="29">
        <v>1.0376875000000001E-2</v>
      </c>
    </row>
    <row r="291" spans="1:14" hidden="1" x14ac:dyDescent="0.3">
      <c r="A291">
        <v>288</v>
      </c>
      <c r="B291" t="s">
        <v>632</v>
      </c>
      <c r="C291" s="29">
        <v>1.0378819444444444E-2</v>
      </c>
      <c r="D291" s="29">
        <v>1.0397164351851852E-2</v>
      </c>
      <c r="E291" t="b">
        <f t="shared" si="4"/>
        <v>1</v>
      </c>
      <c r="K291">
        <v>288</v>
      </c>
      <c r="L291" t="s">
        <v>632</v>
      </c>
      <c r="M291" s="29">
        <v>1.0378807870370372E-2</v>
      </c>
      <c r="N291" s="29">
        <v>1.0395694444444444E-2</v>
      </c>
    </row>
    <row r="292" spans="1:14" hidden="1" x14ac:dyDescent="0.3">
      <c r="A292">
        <v>289</v>
      </c>
      <c r="B292" t="s">
        <v>633</v>
      </c>
      <c r="C292" s="29">
        <v>1.0397638888888889E-2</v>
      </c>
      <c r="D292" s="29">
        <v>1.0418402777777778E-2</v>
      </c>
      <c r="E292" t="b">
        <f t="shared" si="4"/>
        <v>1</v>
      </c>
      <c r="K292">
        <v>289</v>
      </c>
      <c r="L292" t="s">
        <v>633</v>
      </c>
      <c r="M292" s="29">
        <v>1.0397627314814814E-2</v>
      </c>
      <c r="N292" s="29">
        <v>1.0416944444444444E-2</v>
      </c>
    </row>
    <row r="293" spans="1:14" hidden="1" x14ac:dyDescent="0.3">
      <c r="A293">
        <v>290</v>
      </c>
      <c r="B293" t="s">
        <v>634</v>
      </c>
      <c r="C293" s="29">
        <v>1.0418877314814815E-2</v>
      </c>
      <c r="D293" s="29">
        <v>1.045074074074074E-2</v>
      </c>
      <c r="E293" t="b">
        <f t="shared" si="4"/>
        <v>1</v>
      </c>
      <c r="K293">
        <v>290</v>
      </c>
      <c r="L293" t="s">
        <v>634</v>
      </c>
      <c r="M293" s="29">
        <v>1.0418865740740741E-2</v>
      </c>
      <c r="N293" s="29">
        <v>1.0450729166666667E-2</v>
      </c>
    </row>
    <row r="294" spans="1:14" hidden="1" x14ac:dyDescent="0.3">
      <c r="A294">
        <v>291</v>
      </c>
      <c r="B294" t="s">
        <v>635</v>
      </c>
      <c r="C294" s="29">
        <v>1.0459432870370371E-2</v>
      </c>
      <c r="D294" s="29">
        <v>1.0489849537037037E-2</v>
      </c>
      <c r="E294" t="b">
        <f t="shared" si="4"/>
        <v>1</v>
      </c>
      <c r="K294">
        <v>291</v>
      </c>
      <c r="L294" t="s">
        <v>635</v>
      </c>
      <c r="M294" s="29">
        <v>1.0459421296296297E-2</v>
      </c>
      <c r="N294" s="29">
        <v>1.0489837962962963E-2</v>
      </c>
    </row>
    <row r="295" spans="1:14" hidden="1" x14ac:dyDescent="0.3">
      <c r="A295">
        <v>292</v>
      </c>
      <c r="B295" t="s">
        <v>636</v>
      </c>
      <c r="C295" s="29">
        <v>1.0499016203703703E-2</v>
      </c>
      <c r="D295" s="29">
        <v>1.0524606481481482E-2</v>
      </c>
      <c r="E295" t="b">
        <f t="shared" si="4"/>
        <v>1</v>
      </c>
      <c r="K295">
        <v>292</v>
      </c>
      <c r="L295" t="s">
        <v>636</v>
      </c>
      <c r="M295" s="29">
        <v>1.0499004629629631E-2</v>
      </c>
      <c r="N295" s="29">
        <v>1.0524594907407408E-2</v>
      </c>
    </row>
    <row r="296" spans="1:14" hidden="1" x14ac:dyDescent="0.3">
      <c r="A296">
        <v>293</v>
      </c>
      <c r="B296" t="s">
        <v>637</v>
      </c>
      <c r="C296" s="29">
        <v>1.0575289351851853E-2</v>
      </c>
      <c r="D296" s="29">
        <v>1.0602800925925925E-2</v>
      </c>
      <c r="E296" t="b">
        <f t="shared" si="4"/>
        <v>1</v>
      </c>
      <c r="K296">
        <v>293</v>
      </c>
      <c r="L296" t="s">
        <v>637</v>
      </c>
      <c r="M296" s="29">
        <v>1.0575277777777777E-2</v>
      </c>
      <c r="N296" s="29">
        <v>1.0601342592592593E-2</v>
      </c>
    </row>
    <row r="297" spans="1:14" hidden="1" x14ac:dyDescent="0.3">
      <c r="A297">
        <v>294</v>
      </c>
      <c r="B297" t="s">
        <v>638</v>
      </c>
      <c r="C297" s="29">
        <v>1.0603287037037038E-2</v>
      </c>
      <c r="D297" s="29">
        <v>1.0624039351851852E-2</v>
      </c>
      <c r="E297" t="b">
        <f t="shared" si="4"/>
        <v>1</v>
      </c>
      <c r="K297">
        <v>294</v>
      </c>
      <c r="L297" t="s">
        <v>638</v>
      </c>
      <c r="M297" s="29">
        <v>1.0603275462962964E-2</v>
      </c>
      <c r="N297" s="29">
        <v>1.0622581018518519E-2</v>
      </c>
    </row>
    <row r="298" spans="1:14" x14ac:dyDescent="0.3">
      <c r="A298">
        <v>295</v>
      </c>
      <c r="B298" s="23" t="s">
        <v>639</v>
      </c>
      <c r="C298" s="29">
        <v>1.0624525462962962E-2</v>
      </c>
      <c r="D298" s="29">
        <v>1.064818287037037E-2</v>
      </c>
      <c r="E298" t="b">
        <f t="shared" si="4"/>
        <v>0</v>
      </c>
      <c r="K298">
        <v>295</v>
      </c>
      <c r="L298" s="23" t="s">
        <v>789</v>
      </c>
      <c r="M298" s="29">
        <v>1.0624513888888888E-2</v>
      </c>
      <c r="N298" s="29">
        <v>1.0648171296296296E-2</v>
      </c>
    </row>
    <row r="299" spans="1:14" hidden="1" x14ac:dyDescent="0.3">
      <c r="A299">
        <v>296</v>
      </c>
      <c r="B299" t="s">
        <v>640</v>
      </c>
      <c r="C299" s="29">
        <v>1.0657349537037036E-2</v>
      </c>
      <c r="D299" s="29">
        <v>1.0689212962962963E-2</v>
      </c>
      <c r="E299" t="b">
        <f t="shared" si="4"/>
        <v>1</v>
      </c>
      <c r="K299">
        <v>296</v>
      </c>
      <c r="L299" t="s">
        <v>640</v>
      </c>
      <c r="M299" s="29">
        <v>1.0657337962962962E-2</v>
      </c>
      <c r="N299" s="29">
        <v>1.068775462962963E-2</v>
      </c>
    </row>
    <row r="300" spans="1:14" hidden="1" x14ac:dyDescent="0.3">
      <c r="A300">
        <v>297</v>
      </c>
      <c r="B300" t="s">
        <v>641</v>
      </c>
      <c r="C300" s="29">
        <v>1.0689699074074074E-2</v>
      </c>
      <c r="D300" s="29">
        <v>1.0704664351851852E-2</v>
      </c>
      <c r="E300" t="b">
        <f t="shared" si="4"/>
        <v>1</v>
      </c>
      <c r="K300">
        <v>297</v>
      </c>
      <c r="L300" t="s">
        <v>641</v>
      </c>
      <c r="M300" s="29">
        <v>1.06896875E-2</v>
      </c>
      <c r="N300" s="29">
        <v>1.0703206018518518E-2</v>
      </c>
    </row>
    <row r="301" spans="1:14" ht="28.8" x14ac:dyDescent="0.3">
      <c r="A301">
        <v>298</v>
      </c>
      <c r="B301" s="23" t="s">
        <v>642</v>
      </c>
      <c r="C301" s="29">
        <v>1.0705138888888889E-2</v>
      </c>
      <c r="D301" s="29">
        <v>1.0751967592592592E-2</v>
      </c>
      <c r="E301" t="b">
        <f t="shared" si="4"/>
        <v>0</v>
      </c>
      <c r="K301">
        <v>298</v>
      </c>
      <c r="L301" s="23" t="s">
        <v>790</v>
      </c>
      <c r="M301" s="29">
        <v>1.0705138888888889E-2</v>
      </c>
      <c r="N301" s="29">
        <v>1.075050925925926E-2</v>
      </c>
    </row>
    <row r="302" spans="1:14" ht="28.8" x14ac:dyDescent="0.3">
      <c r="A302">
        <v>299</v>
      </c>
      <c r="B302" s="23" t="s">
        <v>643</v>
      </c>
      <c r="C302" s="29">
        <v>1.0752453703703703E-2</v>
      </c>
      <c r="D302" s="29">
        <v>1.0789618055555556E-2</v>
      </c>
      <c r="E302" t="b">
        <f t="shared" si="4"/>
        <v>0</v>
      </c>
      <c r="K302">
        <v>299</v>
      </c>
      <c r="L302" s="23" t="s">
        <v>791</v>
      </c>
      <c r="M302" s="29">
        <v>1.0752442129629629E-2</v>
      </c>
      <c r="N302" s="29">
        <v>1.0789606481481482E-2</v>
      </c>
    </row>
    <row r="303" spans="1:14" ht="28.8" x14ac:dyDescent="0.3">
      <c r="A303">
        <v>300</v>
      </c>
      <c r="B303" s="23" t="s">
        <v>644</v>
      </c>
      <c r="C303" s="29">
        <v>1.0798796296296296E-2</v>
      </c>
      <c r="D303" s="29">
        <v>1.0846099537037036E-2</v>
      </c>
      <c r="E303" t="b">
        <f t="shared" si="4"/>
        <v>0</v>
      </c>
      <c r="K303">
        <v>300</v>
      </c>
      <c r="L303" s="23" t="s">
        <v>792</v>
      </c>
      <c r="M303" s="29">
        <v>1.0798784722222222E-2</v>
      </c>
      <c r="N303" s="29">
        <v>1.0846087962962962E-2</v>
      </c>
    </row>
    <row r="304" spans="1:14" hidden="1" x14ac:dyDescent="0.3">
      <c r="A304">
        <v>301</v>
      </c>
      <c r="B304" t="s">
        <v>645</v>
      </c>
      <c r="C304" s="29">
        <v>1.0849479166666667E-2</v>
      </c>
      <c r="D304" s="29">
        <v>1.0893888888888889E-2</v>
      </c>
      <c r="E304" t="b">
        <f t="shared" si="4"/>
        <v>1</v>
      </c>
      <c r="K304">
        <v>301</v>
      </c>
      <c r="L304" t="s">
        <v>645</v>
      </c>
      <c r="M304" s="29">
        <v>1.0849467592592593E-2</v>
      </c>
      <c r="N304" s="29">
        <v>1.0893877314814815E-2</v>
      </c>
    </row>
    <row r="305" spans="1:14" hidden="1" x14ac:dyDescent="0.3">
      <c r="A305">
        <v>302</v>
      </c>
      <c r="B305" t="s">
        <v>468</v>
      </c>
      <c r="C305" s="29">
        <v>1.089824074074074E-2</v>
      </c>
      <c r="D305" s="29">
        <v>1.0917060185185186E-2</v>
      </c>
      <c r="E305" t="b">
        <f t="shared" si="4"/>
        <v>1</v>
      </c>
      <c r="K305">
        <v>302</v>
      </c>
      <c r="L305" t="s">
        <v>468</v>
      </c>
      <c r="M305" s="29">
        <v>1.0898229166666667E-2</v>
      </c>
      <c r="N305" s="29">
        <v>1.091704861111111E-2</v>
      </c>
    </row>
    <row r="306" spans="1:14" hidden="1" x14ac:dyDescent="0.3">
      <c r="A306">
        <v>303</v>
      </c>
      <c r="B306" t="s">
        <v>646</v>
      </c>
      <c r="C306" s="29">
        <v>1.0966307870370371E-2</v>
      </c>
      <c r="D306" s="29">
        <v>1.1000578703703703E-2</v>
      </c>
      <c r="E306" t="b">
        <f t="shared" si="4"/>
        <v>1</v>
      </c>
      <c r="K306">
        <v>303</v>
      </c>
      <c r="L306" t="s">
        <v>646</v>
      </c>
      <c r="M306" s="29">
        <v>1.0966296296296297E-2</v>
      </c>
      <c r="N306" s="29">
        <v>1.0999120370370369E-2</v>
      </c>
    </row>
    <row r="307" spans="1:14" hidden="1" x14ac:dyDescent="0.3">
      <c r="A307">
        <v>304</v>
      </c>
      <c r="B307" t="s">
        <v>647</v>
      </c>
      <c r="C307" s="29">
        <v>1.1001064814814814E-2</v>
      </c>
      <c r="D307" s="29">
        <v>1.1016990740740742E-2</v>
      </c>
      <c r="E307" t="b">
        <f t="shared" si="4"/>
        <v>1</v>
      </c>
      <c r="K307">
        <v>304</v>
      </c>
      <c r="L307" t="s">
        <v>647</v>
      </c>
      <c r="M307" s="29">
        <v>1.100105324074074E-2</v>
      </c>
      <c r="N307" s="29">
        <v>1.1015532407407406E-2</v>
      </c>
    </row>
    <row r="308" spans="1:14" hidden="1" x14ac:dyDescent="0.3">
      <c r="A308">
        <v>305</v>
      </c>
      <c r="B308" t="s">
        <v>648</v>
      </c>
      <c r="C308" s="29">
        <v>1.1017476851851851E-2</v>
      </c>
      <c r="D308" s="29">
        <v>1.1042581018518518E-2</v>
      </c>
      <c r="E308" t="b">
        <f t="shared" si="4"/>
        <v>1</v>
      </c>
      <c r="K308">
        <v>305</v>
      </c>
      <c r="L308" t="s">
        <v>648</v>
      </c>
      <c r="M308" s="29">
        <v>1.1017465277777777E-2</v>
      </c>
      <c r="N308" s="29">
        <v>1.1041122685185185E-2</v>
      </c>
    </row>
    <row r="309" spans="1:14" hidden="1" x14ac:dyDescent="0.3">
      <c r="A309">
        <v>306</v>
      </c>
      <c r="B309" t="s">
        <v>649</v>
      </c>
      <c r="C309" s="29">
        <v>1.1043055555555556E-2</v>
      </c>
      <c r="D309" s="29">
        <v>1.1083124999999999E-2</v>
      </c>
      <c r="E309" t="b">
        <f t="shared" si="4"/>
        <v>1</v>
      </c>
      <c r="K309">
        <v>306</v>
      </c>
      <c r="L309" t="s">
        <v>649</v>
      </c>
      <c r="M309" s="29">
        <v>1.1043043981481482E-2</v>
      </c>
      <c r="N309" s="29">
        <v>1.1081666666666667E-2</v>
      </c>
    </row>
    <row r="310" spans="1:14" hidden="1" x14ac:dyDescent="0.3">
      <c r="A310">
        <v>307</v>
      </c>
      <c r="B310" t="s">
        <v>650</v>
      </c>
      <c r="C310" s="29">
        <v>1.1083611111111112E-2</v>
      </c>
      <c r="D310" s="29">
        <v>1.1110636574074075E-2</v>
      </c>
      <c r="E310" t="b">
        <f t="shared" si="4"/>
        <v>1</v>
      </c>
      <c r="K310">
        <v>307</v>
      </c>
      <c r="L310" t="s">
        <v>650</v>
      </c>
      <c r="M310" s="29">
        <v>1.1083599537037038E-2</v>
      </c>
      <c r="N310" s="29">
        <v>1.1109178240740741E-2</v>
      </c>
    </row>
    <row r="311" spans="1:14" hidden="1" x14ac:dyDescent="0.3">
      <c r="A311">
        <v>308</v>
      </c>
      <c r="B311" t="s">
        <v>651</v>
      </c>
      <c r="C311" s="29">
        <v>1.1111122685185186E-2</v>
      </c>
      <c r="D311" s="29">
        <v>1.1154085648148147E-2</v>
      </c>
      <c r="E311" t="b">
        <f t="shared" si="4"/>
        <v>1</v>
      </c>
      <c r="K311">
        <v>308</v>
      </c>
      <c r="L311" t="s">
        <v>651</v>
      </c>
      <c r="M311" s="30">
        <v>1.1111111111111112E-2</v>
      </c>
      <c r="N311" s="29">
        <v>1.1152627314814815E-2</v>
      </c>
    </row>
    <row r="312" spans="1:14" hidden="1" x14ac:dyDescent="0.3">
      <c r="A312">
        <v>309</v>
      </c>
      <c r="B312" t="s">
        <v>652</v>
      </c>
      <c r="C312" s="29">
        <v>1.115457175925926E-2</v>
      </c>
      <c r="D312" s="29">
        <v>1.1178229166666666E-2</v>
      </c>
      <c r="E312" t="b">
        <f t="shared" si="4"/>
        <v>1</v>
      </c>
      <c r="K312">
        <v>309</v>
      </c>
      <c r="L312" t="s">
        <v>652</v>
      </c>
      <c r="M312" s="29">
        <v>1.1154560185185186E-2</v>
      </c>
      <c r="N312" s="29">
        <v>1.1178217592592592E-2</v>
      </c>
    </row>
    <row r="313" spans="1:14" hidden="1" x14ac:dyDescent="0.3">
      <c r="A313">
        <v>310</v>
      </c>
      <c r="B313" t="s">
        <v>653</v>
      </c>
      <c r="C313" s="29">
        <v>1.1186435185185186E-2</v>
      </c>
      <c r="D313" s="29">
        <v>1.1214907407407408E-2</v>
      </c>
      <c r="E313" t="b">
        <f t="shared" si="4"/>
        <v>1</v>
      </c>
      <c r="K313">
        <v>310</v>
      </c>
      <c r="L313" t="s">
        <v>653</v>
      </c>
      <c r="M313" s="29">
        <v>1.1186423611111111E-2</v>
      </c>
      <c r="N313" s="29">
        <v>1.1213449074074074E-2</v>
      </c>
    </row>
    <row r="314" spans="1:14" hidden="1" x14ac:dyDescent="0.3">
      <c r="A314">
        <v>311</v>
      </c>
      <c r="B314" t="s">
        <v>654</v>
      </c>
      <c r="C314" s="29">
        <v>1.1215393518518519E-2</v>
      </c>
      <c r="D314" s="29">
        <v>1.1245324074074074E-2</v>
      </c>
      <c r="E314" t="b">
        <f t="shared" si="4"/>
        <v>1</v>
      </c>
      <c r="K314">
        <v>311</v>
      </c>
      <c r="L314" t="s">
        <v>654</v>
      </c>
      <c r="M314" s="29">
        <v>1.1215381944444444E-2</v>
      </c>
      <c r="N314" s="29">
        <v>1.1243865740740742E-2</v>
      </c>
    </row>
    <row r="315" spans="1:14" hidden="1" x14ac:dyDescent="0.3">
      <c r="A315">
        <v>312</v>
      </c>
      <c r="B315" t="s">
        <v>655</v>
      </c>
      <c r="C315" s="29">
        <v>1.1245810185185185E-2</v>
      </c>
      <c r="D315" s="29">
        <v>1.1275740740740741E-2</v>
      </c>
      <c r="E315" t="b">
        <f t="shared" si="4"/>
        <v>1</v>
      </c>
      <c r="K315">
        <v>312</v>
      </c>
      <c r="L315" t="s">
        <v>655</v>
      </c>
      <c r="M315" s="29">
        <v>1.1245798611111111E-2</v>
      </c>
      <c r="N315" s="29">
        <v>1.1274282407407406E-2</v>
      </c>
    </row>
    <row r="316" spans="1:14" hidden="1" x14ac:dyDescent="0.3">
      <c r="A316">
        <v>313</v>
      </c>
      <c r="B316" t="s">
        <v>656</v>
      </c>
      <c r="C316" s="29">
        <v>1.1276215277777777E-2</v>
      </c>
      <c r="D316" s="29">
        <v>1.1300358796296296E-2</v>
      </c>
      <c r="E316" t="b">
        <f t="shared" si="4"/>
        <v>1</v>
      </c>
      <c r="K316">
        <v>313</v>
      </c>
      <c r="L316" t="s">
        <v>656</v>
      </c>
      <c r="M316" s="29">
        <v>1.1276203703703703E-2</v>
      </c>
      <c r="N316" s="29">
        <v>1.1298414351851851E-2</v>
      </c>
    </row>
    <row r="317" spans="1:14" hidden="1" x14ac:dyDescent="0.3">
      <c r="A317">
        <v>314</v>
      </c>
      <c r="B317" t="s">
        <v>657</v>
      </c>
      <c r="C317" s="29">
        <v>1.1300844907407407E-2</v>
      </c>
      <c r="D317" s="29">
        <v>1.133318287037037E-2</v>
      </c>
      <c r="E317" t="b">
        <f t="shared" si="4"/>
        <v>1</v>
      </c>
      <c r="K317">
        <v>314</v>
      </c>
      <c r="L317" t="s">
        <v>657</v>
      </c>
      <c r="M317" s="29">
        <v>1.1300833333333335E-2</v>
      </c>
      <c r="N317" s="29">
        <v>1.1333171296296296E-2</v>
      </c>
    </row>
    <row r="318" spans="1:14" hidden="1" x14ac:dyDescent="0.3">
      <c r="A318">
        <v>315</v>
      </c>
      <c r="B318" t="s">
        <v>658</v>
      </c>
      <c r="C318" s="29">
        <v>1.133945601851852E-2</v>
      </c>
      <c r="D318" s="29">
        <v>1.1377106481481481E-2</v>
      </c>
      <c r="E318" t="b">
        <f t="shared" si="4"/>
        <v>1</v>
      </c>
      <c r="K318">
        <v>315</v>
      </c>
      <c r="L318" t="s">
        <v>658</v>
      </c>
      <c r="M318" s="29">
        <v>1.1339444444444444E-2</v>
      </c>
      <c r="N318" s="29">
        <v>1.1375648148148149E-2</v>
      </c>
    </row>
    <row r="319" spans="1:14" ht="28.8" x14ac:dyDescent="0.3">
      <c r="A319">
        <v>316</v>
      </c>
      <c r="B319" s="23" t="s">
        <v>659</v>
      </c>
      <c r="C319" s="29">
        <v>1.1377592592592592E-2</v>
      </c>
      <c r="D319" s="29">
        <v>1.1416215277777777E-2</v>
      </c>
      <c r="E319" t="b">
        <f t="shared" si="4"/>
        <v>0</v>
      </c>
      <c r="K319">
        <v>316</v>
      </c>
      <c r="L319" s="23" t="s">
        <v>793</v>
      </c>
      <c r="M319" s="29">
        <v>1.137758101851852E-2</v>
      </c>
      <c r="N319" s="29">
        <v>1.1414756944444444E-2</v>
      </c>
    </row>
    <row r="320" spans="1:14" hidden="1" x14ac:dyDescent="0.3">
      <c r="A320">
        <v>317</v>
      </c>
      <c r="B320" t="s">
        <v>660</v>
      </c>
      <c r="C320" s="29">
        <v>1.1416701388888889E-2</v>
      </c>
      <c r="D320" s="29">
        <v>1.1445173611111113E-2</v>
      </c>
      <c r="E320" t="b">
        <f t="shared" si="4"/>
        <v>1</v>
      </c>
      <c r="K320">
        <v>317</v>
      </c>
      <c r="L320" t="s">
        <v>660</v>
      </c>
      <c r="M320" s="29">
        <v>1.1416689814814815E-2</v>
      </c>
      <c r="N320" s="29">
        <v>1.1443715277777777E-2</v>
      </c>
    </row>
    <row r="321" spans="1:14" hidden="1" x14ac:dyDescent="0.3">
      <c r="A321">
        <v>318</v>
      </c>
      <c r="B321" t="s">
        <v>661</v>
      </c>
      <c r="C321" s="29">
        <v>1.1445659722222222E-2</v>
      </c>
      <c r="D321" s="29">
        <v>1.1468831018518519E-2</v>
      </c>
      <c r="E321" t="b">
        <f t="shared" si="4"/>
        <v>1</v>
      </c>
      <c r="K321">
        <v>318</v>
      </c>
      <c r="L321" t="s">
        <v>661</v>
      </c>
      <c r="M321" s="29">
        <v>1.1445648148148148E-2</v>
      </c>
      <c r="N321" s="29">
        <v>1.1467372685185185E-2</v>
      </c>
    </row>
    <row r="322" spans="1:14" hidden="1" x14ac:dyDescent="0.3">
      <c r="A322">
        <v>319</v>
      </c>
      <c r="B322" t="s">
        <v>662</v>
      </c>
      <c r="C322" s="29">
        <v>1.146931712962963E-2</v>
      </c>
      <c r="D322" s="29">
        <v>1.1493449074074074E-2</v>
      </c>
      <c r="E322" t="b">
        <f t="shared" si="4"/>
        <v>1</v>
      </c>
      <c r="K322">
        <v>319</v>
      </c>
      <c r="L322" t="s">
        <v>662</v>
      </c>
      <c r="M322" s="29">
        <v>1.1469305555555556E-2</v>
      </c>
      <c r="N322" s="29">
        <v>1.149199074074074E-2</v>
      </c>
    </row>
    <row r="323" spans="1:14" hidden="1" x14ac:dyDescent="0.3">
      <c r="A323">
        <v>320</v>
      </c>
      <c r="B323" t="s">
        <v>663</v>
      </c>
      <c r="C323" s="29">
        <v>1.1493935185185185E-2</v>
      </c>
      <c r="D323" s="29">
        <v>1.152193287037037E-2</v>
      </c>
      <c r="E323" t="b">
        <f t="shared" si="4"/>
        <v>1</v>
      </c>
      <c r="K323">
        <v>320</v>
      </c>
      <c r="L323" t="s">
        <v>663</v>
      </c>
      <c r="M323" s="29">
        <v>1.1493923611111111E-2</v>
      </c>
      <c r="N323" s="29">
        <v>1.1520474537037037E-2</v>
      </c>
    </row>
    <row r="324" spans="1:14" hidden="1" x14ac:dyDescent="0.3">
      <c r="A324">
        <v>321</v>
      </c>
      <c r="B324" t="s">
        <v>664</v>
      </c>
      <c r="C324" s="29">
        <v>1.1522418981481482E-2</v>
      </c>
      <c r="D324" s="29">
        <v>1.1547997685185185E-2</v>
      </c>
      <c r="E324" t="b">
        <f t="shared" ref="E324:E387" si="5">B324=L324</f>
        <v>1</v>
      </c>
      <c r="K324">
        <v>321</v>
      </c>
      <c r="L324" t="s">
        <v>664</v>
      </c>
      <c r="M324" s="29">
        <v>1.1522407407407408E-2</v>
      </c>
      <c r="N324" s="29">
        <v>1.1546539351851851E-2</v>
      </c>
    </row>
    <row r="325" spans="1:14" hidden="1" x14ac:dyDescent="0.3">
      <c r="A325">
        <v>322</v>
      </c>
      <c r="B325" t="s">
        <v>665</v>
      </c>
      <c r="C325" s="29">
        <v>1.1548483796296296E-2</v>
      </c>
      <c r="D325" s="29">
        <v>1.159E-2</v>
      </c>
      <c r="E325" t="b">
        <f t="shared" si="5"/>
        <v>1</v>
      </c>
      <c r="K325">
        <v>322</v>
      </c>
      <c r="L325" t="s">
        <v>665</v>
      </c>
      <c r="M325" s="29">
        <v>1.1548472222222222E-2</v>
      </c>
      <c r="N325" s="29">
        <v>1.1588541666666667E-2</v>
      </c>
    </row>
    <row r="326" spans="1:14" hidden="1" x14ac:dyDescent="0.3">
      <c r="A326">
        <v>323</v>
      </c>
      <c r="B326" t="s">
        <v>666</v>
      </c>
      <c r="C326" s="29">
        <v>1.159048611111111E-2</v>
      </c>
      <c r="D326" s="29">
        <v>1.1619930555555555E-2</v>
      </c>
      <c r="E326" t="b">
        <f t="shared" si="5"/>
        <v>1</v>
      </c>
      <c r="K326">
        <v>323</v>
      </c>
      <c r="L326" t="s">
        <v>666</v>
      </c>
      <c r="M326" s="29">
        <v>1.1590474537037038E-2</v>
      </c>
      <c r="N326" s="29">
        <v>1.1619918981481481E-2</v>
      </c>
    </row>
    <row r="327" spans="1:14" hidden="1" x14ac:dyDescent="0.3">
      <c r="A327">
        <v>324</v>
      </c>
      <c r="B327" t="s">
        <v>667</v>
      </c>
      <c r="C327" s="29">
        <v>1.1650335648148148E-2</v>
      </c>
      <c r="D327" s="29">
        <v>1.1679305555555556E-2</v>
      </c>
      <c r="E327" t="b">
        <f t="shared" si="5"/>
        <v>1</v>
      </c>
      <c r="K327">
        <v>324</v>
      </c>
      <c r="L327" t="s">
        <v>667</v>
      </c>
      <c r="M327" s="29">
        <v>1.1650324074074073E-2</v>
      </c>
      <c r="N327" s="29">
        <v>1.1677847222222223E-2</v>
      </c>
    </row>
    <row r="328" spans="1:14" hidden="1" x14ac:dyDescent="0.3">
      <c r="A328">
        <v>325</v>
      </c>
      <c r="B328" t="s">
        <v>668</v>
      </c>
      <c r="C328" s="29">
        <v>1.1679791666666666E-2</v>
      </c>
      <c r="D328" s="29">
        <v>1.1711643518518519E-2</v>
      </c>
      <c r="E328" t="b">
        <f t="shared" si="5"/>
        <v>1</v>
      </c>
      <c r="K328">
        <v>325</v>
      </c>
      <c r="L328" t="s">
        <v>668</v>
      </c>
      <c r="M328" s="29">
        <v>1.1679780092592592E-2</v>
      </c>
      <c r="N328" s="29">
        <v>1.1710185185185185E-2</v>
      </c>
    </row>
    <row r="329" spans="1:14" hidden="1" x14ac:dyDescent="0.3">
      <c r="A329">
        <v>326</v>
      </c>
      <c r="B329" t="s">
        <v>669</v>
      </c>
      <c r="C329" s="29">
        <v>1.171212962962963E-2</v>
      </c>
      <c r="D329" s="29">
        <v>1.1732893518518518E-2</v>
      </c>
      <c r="E329" t="b">
        <f t="shared" si="5"/>
        <v>1</v>
      </c>
      <c r="K329">
        <v>326</v>
      </c>
      <c r="L329" t="s">
        <v>669</v>
      </c>
      <c r="M329" s="29">
        <v>1.1712118055555555E-2</v>
      </c>
      <c r="N329" s="29">
        <v>1.1731423611111111E-2</v>
      </c>
    </row>
    <row r="330" spans="1:14" hidden="1" x14ac:dyDescent="0.3">
      <c r="A330">
        <v>327</v>
      </c>
      <c r="B330" t="s">
        <v>670</v>
      </c>
      <c r="C330" s="29">
        <v>1.1733368055555556E-2</v>
      </c>
      <c r="D330" s="29">
        <v>1.1761365740740741E-2</v>
      </c>
      <c r="E330" t="b">
        <f t="shared" si="5"/>
        <v>1</v>
      </c>
      <c r="K330">
        <v>327</v>
      </c>
      <c r="L330" t="s">
        <v>670</v>
      </c>
      <c r="M330" s="29">
        <v>1.173335648148148E-2</v>
      </c>
      <c r="N330" s="29">
        <v>1.1759907407407408E-2</v>
      </c>
    </row>
    <row r="331" spans="1:14" hidden="1" x14ac:dyDescent="0.3">
      <c r="A331">
        <v>328</v>
      </c>
      <c r="B331" t="s">
        <v>671</v>
      </c>
      <c r="C331" s="29">
        <v>1.1761851851851853E-2</v>
      </c>
      <c r="D331" s="29">
        <v>1.178212962962963E-2</v>
      </c>
      <c r="E331" t="b">
        <f t="shared" si="5"/>
        <v>1</v>
      </c>
      <c r="K331">
        <v>328</v>
      </c>
      <c r="L331" t="s">
        <v>671</v>
      </c>
      <c r="M331" s="29">
        <v>1.1761840277777777E-2</v>
      </c>
      <c r="N331" s="29">
        <v>1.1780671296296296E-2</v>
      </c>
    </row>
    <row r="332" spans="1:14" hidden="1" x14ac:dyDescent="0.3">
      <c r="A332">
        <v>329</v>
      </c>
      <c r="B332" t="s">
        <v>672</v>
      </c>
      <c r="C332" s="29">
        <v>1.1782604166666667E-2</v>
      </c>
      <c r="D332" s="29">
        <v>1.1811087962962962E-2</v>
      </c>
      <c r="E332" t="b">
        <f t="shared" si="5"/>
        <v>1</v>
      </c>
      <c r="K332">
        <v>329</v>
      </c>
      <c r="L332" t="s">
        <v>672</v>
      </c>
      <c r="M332" s="29">
        <v>1.1782604166666667E-2</v>
      </c>
      <c r="N332" s="29">
        <v>1.180962962962963E-2</v>
      </c>
    </row>
    <row r="333" spans="1:14" hidden="1" x14ac:dyDescent="0.3">
      <c r="A333">
        <v>330</v>
      </c>
      <c r="B333" t="s">
        <v>673</v>
      </c>
      <c r="C333" s="29">
        <v>1.1811574074074073E-2</v>
      </c>
      <c r="D333" s="29">
        <v>1.1832326388888889E-2</v>
      </c>
      <c r="E333" t="b">
        <f t="shared" si="5"/>
        <v>1</v>
      </c>
      <c r="K333">
        <v>330</v>
      </c>
      <c r="L333" t="s">
        <v>673</v>
      </c>
      <c r="M333" s="29">
        <v>1.1811562500000001E-2</v>
      </c>
      <c r="N333" s="29">
        <v>1.1830868055555556E-2</v>
      </c>
    </row>
    <row r="334" spans="1:14" hidden="1" x14ac:dyDescent="0.3">
      <c r="A334">
        <v>331</v>
      </c>
      <c r="B334" t="s">
        <v>674</v>
      </c>
      <c r="C334" s="29">
        <v>1.18328125E-2</v>
      </c>
      <c r="D334" s="29">
        <v>1.1868541666666666E-2</v>
      </c>
      <c r="E334" t="b">
        <f t="shared" si="5"/>
        <v>1</v>
      </c>
      <c r="K334">
        <v>331</v>
      </c>
      <c r="L334" t="s">
        <v>674</v>
      </c>
      <c r="M334" s="29">
        <v>1.1832800925925927E-2</v>
      </c>
      <c r="N334" s="29">
        <v>1.1868530092592594E-2</v>
      </c>
    </row>
    <row r="335" spans="1:14" ht="28.8" x14ac:dyDescent="0.3">
      <c r="A335">
        <v>332</v>
      </c>
      <c r="B335" s="23" t="s">
        <v>675</v>
      </c>
      <c r="C335" s="29">
        <v>1.1888807870370371E-2</v>
      </c>
      <c r="D335" s="29">
        <v>1.1923090277777777E-2</v>
      </c>
      <c r="E335" t="b">
        <f t="shared" si="5"/>
        <v>0</v>
      </c>
      <c r="K335">
        <v>332</v>
      </c>
      <c r="L335" s="23" t="s">
        <v>794</v>
      </c>
      <c r="M335" s="29">
        <v>1.1888796296296297E-2</v>
      </c>
      <c r="N335" s="29">
        <v>1.1923078703703703E-2</v>
      </c>
    </row>
    <row r="336" spans="1:14" x14ac:dyDescent="0.3">
      <c r="A336">
        <v>333</v>
      </c>
      <c r="B336" s="23" t="s">
        <v>676</v>
      </c>
      <c r="C336" s="29">
        <v>1.1988738425925925E-2</v>
      </c>
      <c r="D336" s="29">
        <v>1.2018668981481481E-2</v>
      </c>
      <c r="E336" t="b">
        <f t="shared" si="5"/>
        <v>0</v>
      </c>
      <c r="K336">
        <v>333</v>
      </c>
      <c r="L336" s="23" t="s">
        <v>795</v>
      </c>
      <c r="M336" s="29">
        <v>1.1988726851851853E-2</v>
      </c>
      <c r="N336" s="29">
        <v>1.2016724537037036E-2</v>
      </c>
    </row>
    <row r="337" spans="1:14" hidden="1" x14ac:dyDescent="0.3">
      <c r="A337">
        <v>334</v>
      </c>
      <c r="B337" t="s">
        <v>677</v>
      </c>
      <c r="C337" s="29">
        <v>1.2019155092592592E-2</v>
      </c>
      <c r="D337" s="29">
        <v>1.2054386574074075E-2</v>
      </c>
      <c r="E337" t="b">
        <f t="shared" si="5"/>
        <v>1</v>
      </c>
      <c r="K337">
        <v>334</v>
      </c>
      <c r="L337" t="s">
        <v>677</v>
      </c>
      <c r="M337" s="29">
        <v>1.2019143518518518E-2</v>
      </c>
      <c r="N337" s="29">
        <v>1.2054375000000001E-2</v>
      </c>
    </row>
    <row r="338" spans="1:14" hidden="1" x14ac:dyDescent="0.3">
      <c r="A338">
        <v>335</v>
      </c>
      <c r="B338" t="s">
        <v>678</v>
      </c>
      <c r="C338" s="29">
        <v>1.2062592592592594E-2</v>
      </c>
      <c r="D338" s="29">
        <v>1.2080462962962963E-2</v>
      </c>
      <c r="E338" t="b">
        <f t="shared" si="5"/>
        <v>1</v>
      </c>
      <c r="K338">
        <v>335</v>
      </c>
      <c r="L338" t="s">
        <v>678</v>
      </c>
      <c r="M338" s="29">
        <v>1.2062581018518519E-2</v>
      </c>
      <c r="N338" s="29">
        <v>1.2078993055555556E-2</v>
      </c>
    </row>
    <row r="339" spans="1:14" hidden="1" x14ac:dyDescent="0.3">
      <c r="A339">
        <v>336</v>
      </c>
      <c r="B339" t="s">
        <v>679</v>
      </c>
      <c r="C339" s="29">
        <v>1.2080937499999998E-2</v>
      </c>
      <c r="D339" s="29">
        <v>1.2101215277777778E-2</v>
      </c>
      <c r="E339" t="b">
        <f t="shared" si="5"/>
        <v>1</v>
      </c>
      <c r="K339">
        <v>336</v>
      </c>
      <c r="L339" t="s">
        <v>679</v>
      </c>
      <c r="M339" s="29">
        <v>1.2080925925925926E-2</v>
      </c>
      <c r="N339" s="29">
        <v>1.2101203703703704E-2</v>
      </c>
    </row>
    <row r="340" spans="1:14" hidden="1" x14ac:dyDescent="0.3">
      <c r="A340">
        <v>337</v>
      </c>
      <c r="B340" t="s">
        <v>680</v>
      </c>
      <c r="C340" s="29">
        <v>1.213355324074074E-2</v>
      </c>
      <c r="D340" s="29">
        <v>1.2150937499999999E-2</v>
      </c>
      <c r="E340" t="b">
        <f t="shared" si="5"/>
        <v>1</v>
      </c>
      <c r="K340">
        <v>337</v>
      </c>
      <c r="L340" t="s">
        <v>680</v>
      </c>
      <c r="M340" s="29">
        <v>1.2133541666666666E-2</v>
      </c>
      <c r="N340" s="29">
        <v>1.2150925925925924E-2</v>
      </c>
    </row>
    <row r="341" spans="1:14" hidden="1" x14ac:dyDescent="0.3">
      <c r="A341">
        <v>338</v>
      </c>
      <c r="B341" t="s">
        <v>681</v>
      </c>
      <c r="C341" s="29">
        <v>1.2204999999999999E-2</v>
      </c>
      <c r="D341" s="29">
        <v>1.2234444444444445E-2</v>
      </c>
      <c r="E341" t="b">
        <f t="shared" si="5"/>
        <v>1</v>
      </c>
      <c r="K341">
        <v>338</v>
      </c>
      <c r="L341" t="s">
        <v>681</v>
      </c>
      <c r="M341" s="29">
        <v>1.2204988425925925E-2</v>
      </c>
      <c r="N341" s="29">
        <v>1.2232986111111111E-2</v>
      </c>
    </row>
    <row r="342" spans="1:14" hidden="1" x14ac:dyDescent="0.3">
      <c r="A342">
        <v>339</v>
      </c>
      <c r="B342" t="s">
        <v>682</v>
      </c>
      <c r="C342" s="29">
        <v>1.2234930555555554E-2</v>
      </c>
      <c r="D342" s="29">
        <v>1.226630787037037E-2</v>
      </c>
      <c r="E342" t="b">
        <f t="shared" si="5"/>
        <v>1</v>
      </c>
      <c r="K342">
        <v>339</v>
      </c>
      <c r="L342" t="s">
        <v>682</v>
      </c>
      <c r="M342" s="29">
        <v>1.2234918981481482E-2</v>
      </c>
      <c r="N342" s="29">
        <v>1.2264849537037038E-2</v>
      </c>
    </row>
    <row r="343" spans="1:14" hidden="1" x14ac:dyDescent="0.3">
      <c r="A343">
        <v>340</v>
      </c>
      <c r="B343" t="s">
        <v>683</v>
      </c>
      <c r="C343" s="29">
        <v>1.2266793981481483E-2</v>
      </c>
      <c r="D343" s="29">
        <v>1.2283692129629629E-2</v>
      </c>
      <c r="E343" t="b">
        <f t="shared" si="5"/>
        <v>1</v>
      </c>
      <c r="K343">
        <v>340</v>
      </c>
      <c r="L343" t="s">
        <v>683</v>
      </c>
      <c r="M343" s="29">
        <v>1.2266782407407407E-2</v>
      </c>
      <c r="N343" s="29">
        <v>1.2283680555555555E-2</v>
      </c>
    </row>
    <row r="344" spans="1:14" hidden="1" x14ac:dyDescent="0.3">
      <c r="A344">
        <v>341</v>
      </c>
      <c r="B344" t="s">
        <v>684</v>
      </c>
      <c r="C344" s="29">
        <v>1.2305416666666668E-2</v>
      </c>
      <c r="D344" s="29">
        <v>1.2339687499999998E-2</v>
      </c>
      <c r="E344" t="b">
        <f t="shared" si="5"/>
        <v>1</v>
      </c>
      <c r="K344">
        <v>341</v>
      </c>
      <c r="L344" t="s">
        <v>684</v>
      </c>
      <c r="M344" s="29">
        <v>1.2305405092592592E-2</v>
      </c>
      <c r="N344" s="29">
        <v>1.2338229166666666E-2</v>
      </c>
    </row>
    <row r="345" spans="1:14" x14ac:dyDescent="0.3">
      <c r="A345">
        <v>342</v>
      </c>
      <c r="B345" s="23" t="s">
        <v>685</v>
      </c>
      <c r="C345" s="29">
        <v>1.2340173611111111E-2</v>
      </c>
      <c r="D345" s="29">
        <v>1.2357060185185186E-2</v>
      </c>
      <c r="E345" t="b">
        <f t="shared" si="5"/>
        <v>0</v>
      </c>
      <c r="K345">
        <v>342</v>
      </c>
      <c r="L345" s="23" t="s">
        <v>796</v>
      </c>
      <c r="M345" s="29">
        <v>1.2340162037037038E-2</v>
      </c>
      <c r="N345" s="29">
        <v>1.235560185185185E-2</v>
      </c>
    </row>
    <row r="346" spans="1:14" hidden="1" x14ac:dyDescent="0.3">
      <c r="A346">
        <v>343</v>
      </c>
      <c r="B346" t="s">
        <v>686</v>
      </c>
      <c r="C346" s="29">
        <v>1.2357546296296297E-2</v>
      </c>
      <c r="D346" s="29">
        <v>1.2399548611111109E-2</v>
      </c>
      <c r="E346" t="b">
        <f t="shared" si="5"/>
        <v>1</v>
      </c>
      <c r="K346">
        <v>343</v>
      </c>
      <c r="L346" t="s">
        <v>686</v>
      </c>
      <c r="M346" s="29">
        <v>1.2357534722222223E-2</v>
      </c>
      <c r="N346" s="29">
        <v>1.2398090277777777E-2</v>
      </c>
    </row>
    <row r="347" spans="1:14" hidden="1" x14ac:dyDescent="0.3">
      <c r="A347">
        <v>344</v>
      </c>
      <c r="B347" t="s">
        <v>687</v>
      </c>
      <c r="C347" s="29">
        <v>1.240002314814815E-2</v>
      </c>
      <c r="D347" s="29">
        <v>1.2436238425925925E-2</v>
      </c>
      <c r="E347" t="b">
        <f t="shared" si="5"/>
        <v>1</v>
      </c>
      <c r="K347">
        <v>344</v>
      </c>
      <c r="L347" t="s">
        <v>687</v>
      </c>
      <c r="M347" s="29">
        <v>1.2400011574074075E-2</v>
      </c>
      <c r="N347" s="29">
        <v>1.2434768518518519E-2</v>
      </c>
    </row>
    <row r="348" spans="1:14" hidden="1" x14ac:dyDescent="0.3">
      <c r="A348">
        <v>345</v>
      </c>
      <c r="B348" t="s">
        <v>688</v>
      </c>
      <c r="C348" s="29">
        <v>1.2436712962962962E-2</v>
      </c>
      <c r="D348" s="29">
        <v>1.2450231481481482E-2</v>
      </c>
      <c r="E348" t="b">
        <f t="shared" si="5"/>
        <v>1</v>
      </c>
      <c r="K348">
        <v>345</v>
      </c>
      <c r="L348" t="s">
        <v>688</v>
      </c>
      <c r="M348" s="29">
        <v>1.2436701388888888E-2</v>
      </c>
      <c r="N348" s="29">
        <v>1.244877314814815E-2</v>
      </c>
    </row>
    <row r="349" spans="1:14" hidden="1" x14ac:dyDescent="0.3">
      <c r="A349">
        <v>346</v>
      </c>
      <c r="B349" t="s">
        <v>689</v>
      </c>
      <c r="C349" s="29">
        <v>1.2450717592592591E-2</v>
      </c>
      <c r="D349" s="29">
        <v>1.2488368055555555E-2</v>
      </c>
      <c r="E349" t="b">
        <f t="shared" si="5"/>
        <v>1</v>
      </c>
      <c r="K349">
        <v>346</v>
      </c>
      <c r="L349" t="s">
        <v>689</v>
      </c>
      <c r="M349" s="29">
        <v>1.2450706018518519E-2</v>
      </c>
      <c r="N349" s="29">
        <v>1.248690972222222E-2</v>
      </c>
    </row>
    <row r="350" spans="1:14" hidden="1" x14ac:dyDescent="0.3">
      <c r="A350">
        <v>347</v>
      </c>
      <c r="B350" t="s">
        <v>690</v>
      </c>
      <c r="C350" s="29">
        <v>1.2488854166666667E-2</v>
      </c>
      <c r="D350" s="29">
        <v>1.2529398148148147E-2</v>
      </c>
      <c r="E350" t="b">
        <f t="shared" si="5"/>
        <v>1</v>
      </c>
      <c r="K350">
        <v>347</v>
      </c>
      <c r="L350" t="s">
        <v>690</v>
      </c>
      <c r="M350" s="29">
        <v>1.2488842592592593E-2</v>
      </c>
      <c r="N350" s="29">
        <v>1.2529386574074075E-2</v>
      </c>
    </row>
    <row r="351" spans="1:14" hidden="1" x14ac:dyDescent="0.3">
      <c r="A351">
        <v>348</v>
      </c>
      <c r="B351" t="s">
        <v>691</v>
      </c>
      <c r="C351" s="29">
        <v>1.2537604166666667E-2</v>
      </c>
      <c r="D351" s="29">
        <v>1.2563680555555555E-2</v>
      </c>
      <c r="E351" t="b">
        <f t="shared" si="5"/>
        <v>1</v>
      </c>
      <c r="K351">
        <v>348</v>
      </c>
      <c r="L351" t="s">
        <v>691</v>
      </c>
      <c r="M351" s="29">
        <v>1.2537592592592593E-2</v>
      </c>
      <c r="N351" s="29">
        <v>1.2563668981481481E-2</v>
      </c>
    </row>
    <row r="352" spans="1:14" hidden="1" x14ac:dyDescent="0.3">
      <c r="A352">
        <v>349</v>
      </c>
      <c r="B352" t="s">
        <v>692</v>
      </c>
      <c r="C352" s="29">
        <v>1.2726354166666667E-2</v>
      </c>
      <c r="D352" s="29">
        <v>1.2757256944444446E-2</v>
      </c>
      <c r="E352" t="b">
        <f t="shared" si="5"/>
        <v>1</v>
      </c>
      <c r="K352">
        <v>349</v>
      </c>
      <c r="L352" t="s">
        <v>692</v>
      </c>
      <c r="M352" s="29">
        <v>1.2726342592592593E-2</v>
      </c>
      <c r="N352" s="29">
        <v>1.2757245370370372E-2</v>
      </c>
    </row>
    <row r="353" spans="1:14" hidden="1" x14ac:dyDescent="0.3">
      <c r="A353">
        <v>350</v>
      </c>
      <c r="B353" t="s">
        <v>693</v>
      </c>
      <c r="C353" s="29">
        <v>1.276980324074074E-2</v>
      </c>
      <c r="D353" s="29">
        <v>1.2799733796296295E-2</v>
      </c>
      <c r="E353" t="b">
        <f t="shared" si="5"/>
        <v>1</v>
      </c>
      <c r="K353">
        <v>350</v>
      </c>
      <c r="L353" t="s">
        <v>693</v>
      </c>
      <c r="M353" s="29">
        <v>1.2769791666666665E-2</v>
      </c>
      <c r="N353" s="29">
        <v>1.2798275462962963E-2</v>
      </c>
    </row>
    <row r="354" spans="1:14" hidden="1" x14ac:dyDescent="0.3">
      <c r="A354">
        <v>351</v>
      </c>
      <c r="B354" t="s">
        <v>694</v>
      </c>
      <c r="C354" s="29">
        <v>1.2800219907407408E-2</v>
      </c>
      <c r="D354" s="29">
        <v>1.2835937500000002E-2</v>
      </c>
      <c r="E354" t="b">
        <f t="shared" si="5"/>
        <v>1</v>
      </c>
      <c r="K354">
        <v>351</v>
      </c>
      <c r="L354" t="s">
        <v>694</v>
      </c>
      <c r="M354" s="29">
        <v>1.2800208333333335E-2</v>
      </c>
      <c r="N354" s="29">
        <v>1.2835925925925924E-2</v>
      </c>
    </row>
    <row r="355" spans="1:14" hidden="1" x14ac:dyDescent="0.3">
      <c r="A355">
        <v>352</v>
      </c>
      <c r="B355" t="s">
        <v>695</v>
      </c>
      <c r="C355" s="29">
        <v>1.2863449074074074E-2</v>
      </c>
      <c r="D355" s="29">
        <v>1.2880833333333333E-2</v>
      </c>
      <c r="E355" t="b">
        <f t="shared" si="5"/>
        <v>1</v>
      </c>
      <c r="K355">
        <v>352</v>
      </c>
      <c r="L355" t="s">
        <v>695</v>
      </c>
      <c r="M355" s="29">
        <v>1.2863437500000002E-2</v>
      </c>
      <c r="N355" s="29">
        <v>1.288082175925926E-2</v>
      </c>
    </row>
    <row r="356" spans="1:14" hidden="1" x14ac:dyDescent="0.3">
      <c r="A356">
        <v>353</v>
      </c>
      <c r="B356" t="s">
        <v>696</v>
      </c>
      <c r="C356" s="29">
        <v>1.2886620370370369E-2</v>
      </c>
      <c r="D356" s="29">
        <v>1.2922835648148147E-2</v>
      </c>
      <c r="E356" t="b">
        <f t="shared" si="5"/>
        <v>1</v>
      </c>
      <c r="K356">
        <v>353</v>
      </c>
      <c r="L356" t="s">
        <v>696</v>
      </c>
      <c r="M356" s="29">
        <v>1.2886608796296297E-2</v>
      </c>
      <c r="N356" s="29">
        <v>1.2922824074074073E-2</v>
      </c>
    </row>
    <row r="357" spans="1:14" hidden="1" x14ac:dyDescent="0.3">
      <c r="A357">
        <v>354</v>
      </c>
      <c r="B357" t="s">
        <v>697</v>
      </c>
      <c r="C357" s="29">
        <v>1.2946006944444446E-2</v>
      </c>
      <c r="D357" s="29">
        <v>1.2967245370370369E-2</v>
      </c>
      <c r="E357" t="b">
        <f t="shared" si="5"/>
        <v>1</v>
      </c>
      <c r="K357">
        <v>354</v>
      </c>
      <c r="L357" t="s">
        <v>697</v>
      </c>
      <c r="M357" s="29">
        <v>1.2945995370370372E-2</v>
      </c>
      <c r="N357" s="29">
        <v>1.2967233796296296E-2</v>
      </c>
    </row>
    <row r="358" spans="1:14" hidden="1" x14ac:dyDescent="0.3">
      <c r="A358">
        <v>355</v>
      </c>
      <c r="B358" t="s">
        <v>698</v>
      </c>
      <c r="C358" s="29">
        <v>1.2975451388888889E-2</v>
      </c>
      <c r="D358" s="29">
        <v>1.2990416666666667E-2</v>
      </c>
      <c r="E358" t="b">
        <f t="shared" si="5"/>
        <v>1</v>
      </c>
      <c r="K358">
        <v>355</v>
      </c>
      <c r="L358" t="s">
        <v>698</v>
      </c>
      <c r="M358" s="29">
        <v>1.2975439814814815E-2</v>
      </c>
      <c r="N358" s="29">
        <v>1.2988958333333335E-2</v>
      </c>
    </row>
    <row r="359" spans="1:14" hidden="1" x14ac:dyDescent="0.3">
      <c r="A359">
        <v>356</v>
      </c>
      <c r="B359" t="s">
        <v>699</v>
      </c>
      <c r="C359" s="29">
        <v>1.2990891203703704E-2</v>
      </c>
      <c r="D359" s="29">
        <v>1.3021793981481483E-2</v>
      </c>
      <c r="E359" t="b">
        <f t="shared" si="5"/>
        <v>1</v>
      </c>
      <c r="K359">
        <v>356</v>
      </c>
      <c r="L359" t="s">
        <v>699</v>
      </c>
      <c r="M359" s="29">
        <v>1.299087962962963E-2</v>
      </c>
      <c r="N359" s="29">
        <v>1.3021782407407409E-2</v>
      </c>
    </row>
    <row r="360" spans="1:14" hidden="1" x14ac:dyDescent="0.3">
      <c r="A360">
        <v>357</v>
      </c>
      <c r="B360" t="s">
        <v>700</v>
      </c>
      <c r="C360" s="29">
        <v>1.310482638888889E-2</v>
      </c>
      <c r="D360" s="29">
        <v>1.3142962962962962E-2</v>
      </c>
      <c r="E360" t="b">
        <f t="shared" si="5"/>
        <v>1</v>
      </c>
      <c r="K360">
        <v>357</v>
      </c>
      <c r="L360" t="s">
        <v>700</v>
      </c>
      <c r="M360" s="29">
        <v>1.3104814814814816E-2</v>
      </c>
      <c r="N360" s="29">
        <v>1.3141493055555556E-2</v>
      </c>
    </row>
    <row r="361" spans="1:14" hidden="1" x14ac:dyDescent="0.3">
      <c r="A361">
        <v>358</v>
      </c>
      <c r="B361" t="s">
        <v>701</v>
      </c>
      <c r="C361" s="29">
        <v>1.3143437500000001E-2</v>
      </c>
      <c r="D361" s="29">
        <v>1.3164675925925925E-2</v>
      </c>
      <c r="E361" t="b">
        <f t="shared" si="5"/>
        <v>1</v>
      </c>
      <c r="K361">
        <v>358</v>
      </c>
      <c r="L361" t="s">
        <v>701</v>
      </c>
      <c r="M361" s="29">
        <v>1.3143425925925926E-2</v>
      </c>
      <c r="N361" s="29">
        <v>1.3164664351851851E-2</v>
      </c>
    </row>
    <row r="362" spans="1:14" hidden="1" x14ac:dyDescent="0.3">
      <c r="A362">
        <v>359</v>
      </c>
      <c r="B362" t="s">
        <v>702</v>
      </c>
      <c r="C362" s="29">
        <v>1.3180127314814815E-2</v>
      </c>
      <c r="D362" s="29">
        <v>1.3208124999999999E-2</v>
      </c>
      <c r="E362" t="b">
        <f t="shared" si="5"/>
        <v>1</v>
      </c>
      <c r="K362">
        <v>359</v>
      </c>
      <c r="L362" t="s">
        <v>702</v>
      </c>
      <c r="M362" s="29">
        <v>1.3180115740740741E-2</v>
      </c>
      <c r="N362" s="29">
        <v>1.3208113425925927E-2</v>
      </c>
    </row>
    <row r="363" spans="1:14" hidden="1" x14ac:dyDescent="0.3">
      <c r="A363">
        <v>360</v>
      </c>
      <c r="B363" t="s">
        <v>703</v>
      </c>
      <c r="C363" s="29">
        <v>1.3215856481481481E-2</v>
      </c>
      <c r="D363" s="29">
        <v>1.3238055555555557E-2</v>
      </c>
      <c r="E363" t="b">
        <f t="shared" si="5"/>
        <v>1</v>
      </c>
      <c r="K363">
        <v>360</v>
      </c>
      <c r="L363" t="s">
        <v>703</v>
      </c>
      <c r="M363" s="29">
        <v>1.3215844907407407E-2</v>
      </c>
      <c r="N363" s="29">
        <v>1.3238043981481483E-2</v>
      </c>
    </row>
    <row r="364" spans="1:14" hidden="1" x14ac:dyDescent="0.3">
      <c r="A364">
        <v>361</v>
      </c>
      <c r="B364" t="s">
        <v>704</v>
      </c>
      <c r="C364" s="29">
        <v>1.3259293981481483E-2</v>
      </c>
      <c r="D364" s="29">
        <v>1.3285844907407406E-2</v>
      </c>
      <c r="E364" t="b">
        <f t="shared" si="5"/>
        <v>1</v>
      </c>
      <c r="K364">
        <v>361</v>
      </c>
      <c r="L364" t="s">
        <v>704</v>
      </c>
      <c r="M364" s="29">
        <v>1.3259282407407409E-2</v>
      </c>
      <c r="N364" s="29">
        <v>1.3285833333333334E-2</v>
      </c>
    </row>
    <row r="365" spans="1:14" hidden="1" x14ac:dyDescent="0.3">
      <c r="A365">
        <v>362</v>
      </c>
      <c r="B365" t="s">
        <v>705</v>
      </c>
      <c r="C365" s="29">
        <v>1.3424398148148147E-2</v>
      </c>
      <c r="D365" s="29">
        <v>1.3445150462962964E-2</v>
      </c>
      <c r="E365" t="b">
        <f t="shared" si="5"/>
        <v>1</v>
      </c>
      <c r="K365">
        <v>362</v>
      </c>
      <c r="L365" t="s">
        <v>705</v>
      </c>
      <c r="M365" s="29">
        <v>1.3424386574074073E-2</v>
      </c>
      <c r="N365" s="29">
        <v>1.344369212962963E-2</v>
      </c>
    </row>
    <row r="366" spans="1:14" hidden="1" x14ac:dyDescent="0.3">
      <c r="A366">
        <v>363</v>
      </c>
      <c r="B366" t="s">
        <v>706</v>
      </c>
      <c r="C366" s="29">
        <v>1.3445636574074073E-2</v>
      </c>
      <c r="D366" s="29">
        <v>1.3482800925925926E-2</v>
      </c>
      <c r="E366" t="b">
        <f t="shared" si="5"/>
        <v>1</v>
      </c>
      <c r="K366">
        <v>363</v>
      </c>
      <c r="L366" t="s">
        <v>706</v>
      </c>
      <c r="M366" s="29">
        <v>1.3445624999999999E-2</v>
      </c>
      <c r="N366" s="29">
        <v>1.3482789351851852E-2</v>
      </c>
    </row>
    <row r="367" spans="1:14" hidden="1" x14ac:dyDescent="0.3">
      <c r="A367">
        <v>364</v>
      </c>
      <c r="B367" t="s">
        <v>707</v>
      </c>
      <c r="C367" s="29">
        <v>1.3490532407407409E-2</v>
      </c>
      <c r="D367" s="29">
        <v>1.3514178240740742E-2</v>
      </c>
      <c r="E367" t="b">
        <f t="shared" si="5"/>
        <v>1</v>
      </c>
      <c r="K367">
        <v>364</v>
      </c>
      <c r="L367" t="s">
        <v>707</v>
      </c>
      <c r="M367" s="29">
        <v>1.3490520833333332E-2</v>
      </c>
      <c r="N367" s="29">
        <v>1.3514166666666667E-2</v>
      </c>
    </row>
    <row r="368" spans="1:14" hidden="1" x14ac:dyDescent="0.3">
      <c r="A368">
        <v>365</v>
      </c>
      <c r="B368" t="s">
        <v>708</v>
      </c>
      <c r="C368" s="29">
        <v>1.3543148148148148E-2</v>
      </c>
      <c r="D368" s="29">
        <v>1.3577905092592593E-2</v>
      </c>
      <c r="E368" t="b">
        <f t="shared" si="5"/>
        <v>1</v>
      </c>
      <c r="K368">
        <v>365</v>
      </c>
      <c r="L368" t="s">
        <v>708</v>
      </c>
      <c r="M368" s="29">
        <v>1.3543136574074074E-2</v>
      </c>
      <c r="N368" s="29">
        <v>1.357644675925926E-2</v>
      </c>
    </row>
    <row r="369" spans="1:14" hidden="1" x14ac:dyDescent="0.3">
      <c r="A369">
        <v>366</v>
      </c>
      <c r="B369" t="s">
        <v>709</v>
      </c>
      <c r="C369" s="29">
        <v>1.3578379629629629E-2</v>
      </c>
      <c r="D369" s="29">
        <v>1.3629074074074073E-2</v>
      </c>
      <c r="E369" t="b">
        <f t="shared" si="5"/>
        <v>1</v>
      </c>
      <c r="K369">
        <v>366</v>
      </c>
      <c r="L369" t="s">
        <v>709</v>
      </c>
      <c r="M369" s="29">
        <v>1.3578379629629629E-2</v>
      </c>
      <c r="N369" s="29">
        <v>1.362761574074074E-2</v>
      </c>
    </row>
    <row r="370" spans="1:14" hidden="1" x14ac:dyDescent="0.3">
      <c r="A370">
        <v>367</v>
      </c>
      <c r="B370" t="s">
        <v>710</v>
      </c>
      <c r="C370" s="29">
        <v>1.3629560185185186E-2</v>
      </c>
      <c r="D370" s="29">
        <v>1.3650312499999999E-2</v>
      </c>
      <c r="E370" t="b">
        <f t="shared" si="5"/>
        <v>1</v>
      </c>
      <c r="K370">
        <v>367</v>
      </c>
      <c r="L370" t="s">
        <v>710</v>
      </c>
      <c r="M370" s="29">
        <v>1.3629548611111111E-2</v>
      </c>
      <c r="N370" s="29">
        <v>1.3648854166666667E-2</v>
      </c>
    </row>
    <row r="371" spans="1:14" hidden="1" x14ac:dyDescent="0.3">
      <c r="A371">
        <v>368</v>
      </c>
      <c r="B371" t="s">
        <v>711</v>
      </c>
      <c r="C371" s="29">
        <v>1.3650798611111112E-2</v>
      </c>
      <c r="D371" s="29">
        <v>1.3684108796296297E-2</v>
      </c>
      <c r="E371" t="b">
        <f t="shared" si="5"/>
        <v>1</v>
      </c>
      <c r="K371">
        <v>368</v>
      </c>
      <c r="L371" t="s">
        <v>711</v>
      </c>
      <c r="M371" s="29">
        <v>1.3650787037037036E-2</v>
      </c>
      <c r="N371" s="29">
        <v>1.3682650462962964E-2</v>
      </c>
    </row>
    <row r="372" spans="1:14" hidden="1" x14ac:dyDescent="0.3">
      <c r="A372">
        <v>369</v>
      </c>
      <c r="B372" t="s">
        <v>712</v>
      </c>
      <c r="C372" s="29">
        <v>1.3684583333333333E-2</v>
      </c>
      <c r="D372" s="29">
        <v>1.3722245370370371E-2</v>
      </c>
      <c r="E372" t="b">
        <f t="shared" si="5"/>
        <v>1</v>
      </c>
      <c r="K372">
        <v>369</v>
      </c>
      <c r="L372" t="s">
        <v>712</v>
      </c>
      <c r="M372" s="29">
        <v>1.3684571759259259E-2</v>
      </c>
      <c r="N372" s="29">
        <v>1.3722233796296298E-2</v>
      </c>
    </row>
    <row r="373" spans="1:14" hidden="1" x14ac:dyDescent="0.3">
      <c r="A373">
        <v>370</v>
      </c>
      <c r="B373" t="s">
        <v>713</v>
      </c>
      <c r="C373" s="29">
        <v>1.3728993055555555E-2</v>
      </c>
      <c r="D373" s="29">
        <v>1.3757962962962965E-2</v>
      </c>
      <c r="E373" t="b">
        <f t="shared" si="5"/>
        <v>1</v>
      </c>
      <c r="K373">
        <v>370</v>
      </c>
      <c r="L373" t="s">
        <v>713</v>
      </c>
      <c r="M373" s="29">
        <v>1.3728993055555555E-2</v>
      </c>
      <c r="N373" s="29">
        <v>1.3757951388888887E-2</v>
      </c>
    </row>
    <row r="374" spans="1:14" hidden="1" x14ac:dyDescent="0.3">
      <c r="A374">
        <v>371</v>
      </c>
      <c r="B374" t="s">
        <v>714</v>
      </c>
      <c r="C374" s="29">
        <v>1.3774375E-2</v>
      </c>
      <c r="D374" s="29">
        <v>1.3792233796296295E-2</v>
      </c>
      <c r="E374" t="b">
        <f t="shared" si="5"/>
        <v>1</v>
      </c>
      <c r="K374">
        <v>371</v>
      </c>
      <c r="L374" t="s">
        <v>714</v>
      </c>
      <c r="M374" s="29">
        <v>1.3774363425925926E-2</v>
      </c>
      <c r="N374" s="29">
        <v>1.3790775462962961E-2</v>
      </c>
    </row>
    <row r="375" spans="1:14" hidden="1" x14ac:dyDescent="0.3">
      <c r="A375">
        <v>372</v>
      </c>
      <c r="B375" t="s">
        <v>715</v>
      </c>
      <c r="C375" s="29">
        <v>1.3792719907407408E-2</v>
      </c>
      <c r="D375" s="29">
        <v>1.3816377314814814E-2</v>
      </c>
      <c r="E375" t="b">
        <f t="shared" si="5"/>
        <v>1</v>
      </c>
      <c r="K375">
        <v>372</v>
      </c>
      <c r="L375" t="s">
        <v>715</v>
      </c>
      <c r="M375" s="29">
        <v>1.3792708333333334E-2</v>
      </c>
      <c r="N375" s="29">
        <v>1.381491898148148E-2</v>
      </c>
    </row>
    <row r="376" spans="1:14" hidden="1" x14ac:dyDescent="0.3">
      <c r="A376">
        <v>373</v>
      </c>
      <c r="B376" t="s">
        <v>716</v>
      </c>
      <c r="C376" s="29">
        <v>1.3816851851851853E-2</v>
      </c>
      <c r="D376" s="29">
        <v>1.3832303240740742E-2</v>
      </c>
      <c r="E376" t="b">
        <f t="shared" si="5"/>
        <v>1</v>
      </c>
      <c r="K376">
        <v>373</v>
      </c>
      <c r="L376" t="s">
        <v>716</v>
      </c>
      <c r="M376" s="29">
        <v>1.3816840277777779E-2</v>
      </c>
      <c r="N376" s="29">
        <v>1.3830844907407406E-2</v>
      </c>
    </row>
    <row r="377" spans="1:14" hidden="1" x14ac:dyDescent="0.3">
      <c r="A377">
        <v>374</v>
      </c>
      <c r="B377" t="s">
        <v>717</v>
      </c>
      <c r="C377" s="29">
        <v>1.3832789351851851E-2</v>
      </c>
      <c r="D377" s="29">
        <v>1.3868020833333335E-2</v>
      </c>
      <c r="E377" t="b">
        <f t="shared" si="5"/>
        <v>1</v>
      </c>
      <c r="K377">
        <v>374</v>
      </c>
      <c r="L377" t="s">
        <v>717</v>
      </c>
      <c r="M377" s="29">
        <v>1.3832777777777779E-2</v>
      </c>
      <c r="N377" s="29">
        <v>1.3866562499999999E-2</v>
      </c>
    </row>
    <row r="378" spans="1:14" hidden="1" x14ac:dyDescent="0.3">
      <c r="A378">
        <v>375</v>
      </c>
      <c r="B378" t="s">
        <v>718</v>
      </c>
      <c r="C378" s="29">
        <v>1.3868506944444445E-2</v>
      </c>
      <c r="D378" s="29">
        <v>1.390568287037037E-2</v>
      </c>
      <c r="E378" t="b">
        <f t="shared" si="5"/>
        <v>1</v>
      </c>
      <c r="K378">
        <v>375</v>
      </c>
      <c r="L378" t="s">
        <v>718</v>
      </c>
      <c r="M378" s="29">
        <v>1.3868495370370371E-2</v>
      </c>
      <c r="N378" s="29">
        <v>1.3904224537037038E-2</v>
      </c>
    </row>
    <row r="379" spans="1:14" hidden="1" x14ac:dyDescent="0.3">
      <c r="A379">
        <v>376</v>
      </c>
      <c r="B379" t="s">
        <v>719</v>
      </c>
      <c r="C379" s="29">
        <v>1.3906157407407407E-2</v>
      </c>
      <c r="D379" s="29">
        <v>1.3940439814814813E-2</v>
      </c>
      <c r="E379" t="b">
        <f t="shared" si="5"/>
        <v>1</v>
      </c>
      <c r="K379">
        <v>376</v>
      </c>
      <c r="L379" t="s">
        <v>719</v>
      </c>
      <c r="M379" s="29">
        <v>1.3906145833333333E-2</v>
      </c>
      <c r="N379" s="29">
        <v>1.3940428240740741E-2</v>
      </c>
    </row>
    <row r="380" spans="1:14" hidden="1" x14ac:dyDescent="0.3">
      <c r="A380">
        <v>377</v>
      </c>
      <c r="B380" t="s">
        <v>720</v>
      </c>
      <c r="C380" s="29">
        <v>1.3953958333333334E-2</v>
      </c>
      <c r="D380" s="29">
        <v>1.3987256944444445E-2</v>
      </c>
      <c r="E380" t="b">
        <f t="shared" si="5"/>
        <v>1</v>
      </c>
      <c r="K380">
        <v>377</v>
      </c>
      <c r="L380" t="s">
        <v>720</v>
      </c>
      <c r="M380" s="29">
        <v>1.395394675925926E-2</v>
      </c>
      <c r="N380" s="29">
        <v>1.398724537037037E-2</v>
      </c>
    </row>
    <row r="381" spans="1:14" hidden="1" x14ac:dyDescent="0.3">
      <c r="A381">
        <v>378</v>
      </c>
      <c r="B381" t="s">
        <v>721</v>
      </c>
      <c r="C381" s="30">
        <v>1.3993055555555555E-2</v>
      </c>
      <c r="D381" s="29">
        <v>1.4038912037037037E-2</v>
      </c>
      <c r="E381" t="b">
        <f t="shared" si="5"/>
        <v>1</v>
      </c>
      <c r="K381">
        <v>378</v>
      </c>
      <c r="L381" t="s">
        <v>721</v>
      </c>
      <c r="M381" s="29">
        <v>1.3993043981481481E-2</v>
      </c>
      <c r="N381" s="29">
        <v>1.4037453703703703E-2</v>
      </c>
    </row>
    <row r="382" spans="1:14" hidden="1" x14ac:dyDescent="0.3">
      <c r="A382">
        <v>379</v>
      </c>
      <c r="B382" t="s">
        <v>722</v>
      </c>
      <c r="C382" s="29">
        <v>1.4039398148148146E-2</v>
      </c>
      <c r="D382" s="29">
        <v>1.4061608796296296E-2</v>
      </c>
      <c r="E382" t="b">
        <f t="shared" si="5"/>
        <v>1</v>
      </c>
      <c r="K382">
        <v>379</v>
      </c>
      <c r="L382" t="s">
        <v>722</v>
      </c>
      <c r="M382" s="29">
        <v>1.4039386574074074E-2</v>
      </c>
      <c r="N382" s="29">
        <v>1.4060138888888889E-2</v>
      </c>
    </row>
    <row r="383" spans="1:14" hidden="1" x14ac:dyDescent="0.3">
      <c r="A383">
        <v>380</v>
      </c>
      <c r="B383" t="s">
        <v>723</v>
      </c>
      <c r="C383" s="29">
        <v>1.4062083333333333E-2</v>
      </c>
      <c r="D383" s="29">
        <v>1.4075601851851853E-2</v>
      </c>
      <c r="E383" t="b">
        <f t="shared" si="5"/>
        <v>1</v>
      </c>
      <c r="K383">
        <v>380</v>
      </c>
      <c r="L383" t="s">
        <v>723</v>
      </c>
      <c r="M383" s="29">
        <v>1.4062071759259259E-2</v>
      </c>
      <c r="N383" s="29">
        <v>1.4074143518518519E-2</v>
      </c>
    </row>
    <row r="384" spans="1:14" hidden="1" x14ac:dyDescent="0.3">
      <c r="A384">
        <v>381</v>
      </c>
      <c r="B384" t="s">
        <v>724</v>
      </c>
      <c r="C384" s="29">
        <v>1.4076087962962962E-2</v>
      </c>
      <c r="D384" s="29">
        <v>1.4112291666666665E-2</v>
      </c>
      <c r="E384" t="b">
        <f t="shared" si="5"/>
        <v>1</v>
      </c>
      <c r="K384">
        <v>381</v>
      </c>
      <c r="L384" t="s">
        <v>724</v>
      </c>
      <c r="M384" s="29">
        <v>1.407607638888889E-2</v>
      </c>
      <c r="N384" s="29">
        <v>1.4110347222222222E-2</v>
      </c>
    </row>
    <row r="385" spans="1:14" hidden="1" x14ac:dyDescent="0.3">
      <c r="A385">
        <v>382</v>
      </c>
      <c r="B385" t="s">
        <v>725</v>
      </c>
      <c r="C385" s="29">
        <v>1.4112777777777778E-2</v>
      </c>
      <c r="D385" s="29">
        <v>1.4134976851851852E-2</v>
      </c>
      <c r="E385" t="b">
        <f t="shared" si="5"/>
        <v>1</v>
      </c>
      <c r="K385">
        <v>382</v>
      </c>
      <c r="L385" t="s">
        <v>725</v>
      </c>
      <c r="M385" s="29">
        <v>1.4112766203703704E-2</v>
      </c>
      <c r="N385" s="29">
        <v>1.4134965277777778E-2</v>
      </c>
    </row>
    <row r="386" spans="1:14" ht="28.8" x14ac:dyDescent="0.3">
      <c r="A386">
        <v>383</v>
      </c>
      <c r="B386" s="23" t="s">
        <v>726</v>
      </c>
      <c r="C386" s="29">
        <v>1.4141736111111112E-2</v>
      </c>
      <c r="D386" s="29">
        <v>1.4166840277777778E-2</v>
      </c>
      <c r="E386" t="b">
        <f t="shared" si="5"/>
        <v>0</v>
      </c>
      <c r="K386">
        <v>383</v>
      </c>
      <c r="L386" s="23" t="s">
        <v>797</v>
      </c>
      <c r="M386" s="29">
        <v>1.4141724537037038E-2</v>
      </c>
      <c r="N386" s="29">
        <v>1.4165381944444444E-2</v>
      </c>
    </row>
    <row r="387" spans="1:14" hidden="1" x14ac:dyDescent="0.3">
      <c r="A387">
        <v>384</v>
      </c>
      <c r="B387" t="s">
        <v>727</v>
      </c>
      <c r="C387" s="29">
        <v>1.4167326388888889E-2</v>
      </c>
      <c r="D387" s="29">
        <v>1.4202557870370372E-2</v>
      </c>
      <c r="E387" t="b">
        <f t="shared" si="5"/>
        <v>1</v>
      </c>
      <c r="K387">
        <v>384</v>
      </c>
      <c r="L387" t="s">
        <v>727</v>
      </c>
      <c r="M387" s="29">
        <v>1.4167314814814815E-2</v>
      </c>
      <c r="N387" s="29">
        <v>1.4201099537037036E-2</v>
      </c>
    </row>
    <row r="388" spans="1:14" ht="28.8" x14ac:dyDescent="0.3">
      <c r="A388">
        <v>385</v>
      </c>
      <c r="B388" s="23" t="s">
        <v>728</v>
      </c>
      <c r="C388" s="29">
        <v>1.4203043981481481E-2</v>
      </c>
      <c r="D388" s="29">
        <v>1.4243113425925926E-2</v>
      </c>
      <c r="E388" t="b">
        <f t="shared" ref="E388:E420" si="6">B388=L388</f>
        <v>0</v>
      </c>
      <c r="K388">
        <v>385</v>
      </c>
      <c r="L388" s="23" t="s">
        <v>798</v>
      </c>
      <c r="M388" s="29">
        <v>1.4203032407407407E-2</v>
      </c>
      <c r="N388" s="29">
        <v>1.424116898148148E-2</v>
      </c>
    </row>
    <row r="389" spans="1:14" hidden="1" x14ac:dyDescent="0.3">
      <c r="A389">
        <v>386</v>
      </c>
      <c r="B389" t="s">
        <v>729</v>
      </c>
      <c r="C389" s="29">
        <v>1.4243599537037036E-2</v>
      </c>
      <c r="D389" s="29">
        <v>1.4274976851851851E-2</v>
      </c>
      <c r="E389" t="b">
        <f t="shared" si="6"/>
        <v>1</v>
      </c>
      <c r="K389">
        <v>386</v>
      </c>
      <c r="L389" t="s">
        <v>729</v>
      </c>
      <c r="M389" s="29">
        <v>1.4243587962962963E-2</v>
      </c>
      <c r="N389" s="29">
        <v>1.4274965277777777E-2</v>
      </c>
    </row>
    <row r="390" spans="1:14" hidden="1" x14ac:dyDescent="0.3">
      <c r="A390">
        <v>387</v>
      </c>
      <c r="B390" t="s">
        <v>730</v>
      </c>
      <c r="C390" s="29">
        <v>1.4297662037037038E-2</v>
      </c>
      <c r="D390" s="29">
        <v>1.4317453703703704E-2</v>
      </c>
      <c r="E390" t="b">
        <f t="shared" si="6"/>
        <v>1</v>
      </c>
      <c r="K390">
        <v>387</v>
      </c>
      <c r="L390" t="s">
        <v>730</v>
      </c>
      <c r="M390" s="29">
        <v>1.4297650462962963E-2</v>
      </c>
      <c r="N390" s="29">
        <v>1.431744212962963E-2</v>
      </c>
    </row>
    <row r="391" spans="1:14" hidden="1" x14ac:dyDescent="0.3">
      <c r="A391">
        <v>388</v>
      </c>
      <c r="B391" t="s">
        <v>731</v>
      </c>
      <c r="C391" s="29">
        <v>1.434013888888889E-2</v>
      </c>
      <c r="D391" s="29">
        <v>1.4374895833333333E-2</v>
      </c>
      <c r="E391" t="b">
        <f t="shared" si="6"/>
        <v>1</v>
      </c>
      <c r="K391">
        <v>388</v>
      </c>
      <c r="L391" t="s">
        <v>731</v>
      </c>
      <c r="M391" s="29">
        <v>1.4340127314814816E-2</v>
      </c>
      <c r="N391" s="29">
        <v>1.4373437500000001E-2</v>
      </c>
    </row>
    <row r="392" spans="1:14" x14ac:dyDescent="0.3">
      <c r="A392">
        <v>389</v>
      </c>
      <c r="B392" s="23" t="s">
        <v>732</v>
      </c>
      <c r="C392" s="29">
        <v>1.4375381944444444E-2</v>
      </c>
      <c r="D392" s="29">
        <v>1.4398553240740741E-2</v>
      </c>
      <c r="E392" t="b">
        <f t="shared" si="6"/>
        <v>0</v>
      </c>
      <c r="K392">
        <v>389</v>
      </c>
      <c r="L392" s="23" t="s">
        <v>799</v>
      </c>
      <c r="M392" s="29">
        <v>1.437537037037037E-2</v>
      </c>
      <c r="N392" s="29">
        <v>1.4397094907407409E-2</v>
      </c>
    </row>
    <row r="393" spans="1:14" hidden="1" x14ac:dyDescent="0.3">
      <c r="A393">
        <v>390</v>
      </c>
      <c r="B393" t="s">
        <v>733</v>
      </c>
      <c r="C393" s="29">
        <v>1.4399039351851852E-2</v>
      </c>
      <c r="D393" s="29">
        <v>1.444247685185185E-2</v>
      </c>
      <c r="E393" t="b">
        <f t="shared" si="6"/>
        <v>1</v>
      </c>
      <c r="K393">
        <v>390</v>
      </c>
      <c r="L393" t="s">
        <v>733</v>
      </c>
      <c r="M393" s="29">
        <v>1.4399027777777778E-2</v>
      </c>
      <c r="N393" s="29">
        <v>1.4441018518518518E-2</v>
      </c>
    </row>
    <row r="394" spans="1:14" hidden="1" x14ac:dyDescent="0.3">
      <c r="A394">
        <v>391</v>
      </c>
      <c r="B394" t="s">
        <v>734</v>
      </c>
      <c r="C394" s="29">
        <v>1.4442962962962963E-2</v>
      </c>
      <c r="D394" s="29">
        <v>1.4457442129629631E-2</v>
      </c>
      <c r="E394" t="b">
        <f t="shared" si="6"/>
        <v>1</v>
      </c>
      <c r="K394">
        <v>391</v>
      </c>
      <c r="L394" t="s">
        <v>734</v>
      </c>
      <c r="M394" s="29">
        <v>1.4442951388888891E-2</v>
      </c>
      <c r="N394" s="29">
        <v>1.4455983796296297E-2</v>
      </c>
    </row>
    <row r="395" spans="1:14" ht="28.8" x14ac:dyDescent="0.3">
      <c r="A395">
        <v>392</v>
      </c>
      <c r="B395" s="23" t="s">
        <v>735</v>
      </c>
      <c r="C395" s="29">
        <v>1.445792824074074E-2</v>
      </c>
      <c r="D395" s="29">
        <v>1.4499444444444443E-2</v>
      </c>
      <c r="E395" t="b">
        <f t="shared" si="6"/>
        <v>0</v>
      </c>
      <c r="K395">
        <v>392</v>
      </c>
      <c r="L395" s="23" t="s">
        <v>800</v>
      </c>
      <c r="M395" s="29">
        <v>1.4457916666666666E-2</v>
      </c>
      <c r="N395" s="29">
        <v>1.4497986111111111E-2</v>
      </c>
    </row>
    <row r="396" spans="1:14" hidden="1" x14ac:dyDescent="0.3">
      <c r="A396">
        <v>393</v>
      </c>
      <c r="B396" t="s">
        <v>736</v>
      </c>
      <c r="C396" s="29">
        <v>1.4499930555555556E-2</v>
      </c>
      <c r="D396" s="29">
        <v>1.451972222222222E-2</v>
      </c>
      <c r="E396" t="b">
        <f t="shared" si="6"/>
        <v>1</v>
      </c>
      <c r="K396">
        <v>393</v>
      </c>
      <c r="L396" t="s">
        <v>736</v>
      </c>
      <c r="M396" s="29">
        <v>1.449991898148148E-2</v>
      </c>
      <c r="N396" s="29">
        <v>1.4518263888888888E-2</v>
      </c>
    </row>
    <row r="397" spans="1:14" hidden="1" x14ac:dyDescent="0.3">
      <c r="A397">
        <v>394</v>
      </c>
      <c r="B397" t="s">
        <v>737</v>
      </c>
      <c r="C397" s="29">
        <v>1.452019675925926E-2</v>
      </c>
      <c r="D397" s="29">
        <v>1.4557858796296296E-2</v>
      </c>
      <c r="E397" t="b">
        <f t="shared" si="6"/>
        <v>1</v>
      </c>
      <c r="K397">
        <v>394</v>
      </c>
      <c r="L397" t="s">
        <v>737</v>
      </c>
      <c r="M397" s="29">
        <v>1.4520185185185186E-2</v>
      </c>
      <c r="N397" s="29">
        <v>1.4557847222222222E-2</v>
      </c>
    </row>
    <row r="398" spans="1:14" ht="28.8" x14ac:dyDescent="0.3">
      <c r="A398">
        <v>395</v>
      </c>
      <c r="B398" s="23" t="s">
        <v>738</v>
      </c>
      <c r="C398" s="29">
        <v>1.4564131944444444E-2</v>
      </c>
      <c r="D398" s="29">
        <v>1.4601296296296295E-2</v>
      </c>
      <c r="E398" t="b">
        <f t="shared" si="6"/>
        <v>0</v>
      </c>
      <c r="K398">
        <v>395</v>
      </c>
      <c r="L398" s="23" t="s">
        <v>801</v>
      </c>
      <c r="M398" s="29">
        <v>1.456412037037037E-2</v>
      </c>
      <c r="N398" s="29">
        <v>1.4599837962962962E-2</v>
      </c>
    </row>
    <row r="399" spans="1:14" x14ac:dyDescent="0.3">
      <c r="A399">
        <v>396</v>
      </c>
      <c r="B399" s="23" t="s">
        <v>739</v>
      </c>
      <c r="C399" s="29">
        <v>1.4601782407407409E-2</v>
      </c>
      <c r="D399" s="29">
        <v>1.4643298611111112E-2</v>
      </c>
      <c r="E399" t="b">
        <f t="shared" si="6"/>
        <v>0</v>
      </c>
      <c r="K399">
        <v>396</v>
      </c>
      <c r="L399" s="23" t="s">
        <v>802</v>
      </c>
      <c r="M399" s="29">
        <v>1.4601770833333335E-2</v>
      </c>
      <c r="N399" s="29">
        <v>1.4643287037037038E-2</v>
      </c>
    </row>
    <row r="400" spans="1:14" x14ac:dyDescent="0.3">
      <c r="A400">
        <v>397</v>
      </c>
      <c r="B400" s="23" t="s">
        <v>740</v>
      </c>
      <c r="C400" s="29">
        <v>1.4662129629629629E-2</v>
      </c>
      <c r="D400" s="29">
        <v>1.4680949074074074E-2</v>
      </c>
      <c r="E400" t="b">
        <f t="shared" si="6"/>
        <v>0</v>
      </c>
      <c r="K400">
        <v>397</v>
      </c>
      <c r="L400" s="23" t="s">
        <v>803</v>
      </c>
      <c r="M400" s="29">
        <v>1.4662118055555555E-2</v>
      </c>
      <c r="N400" s="29">
        <v>1.4679490740740741E-2</v>
      </c>
    </row>
    <row r="401" spans="1:14" ht="28.8" x14ac:dyDescent="0.3">
      <c r="A401">
        <v>398</v>
      </c>
      <c r="B401" s="23" t="s">
        <v>741</v>
      </c>
      <c r="C401" s="29">
        <v>1.4681435185185186E-2</v>
      </c>
      <c r="D401" s="29">
        <v>1.4706539351851851E-2</v>
      </c>
      <c r="E401" t="b">
        <f t="shared" si="6"/>
        <v>0</v>
      </c>
      <c r="K401">
        <v>398</v>
      </c>
      <c r="L401" s="23" t="s">
        <v>804</v>
      </c>
      <c r="M401" s="29">
        <v>1.468142361111111E-2</v>
      </c>
      <c r="N401" s="29">
        <v>1.4705081018518518E-2</v>
      </c>
    </row>
    <row r="402" spans="1:14" hidden="1" x14ac:dyDescent="0.3">
      <c r="A402">
        <v>399</v>
      </c>
      <c r="B402" t="s">
        <v>742</v>
      </c>
      <c r="C402" s="29">
        <v>1.4707025462962962E-2</v>
      </c>
      <c r="D402" s="29">
        <v>1.4722465277777777E-2</v>
      </c>
      <c r="E402" t="b">
        <f t="shared" si="6"/>
        <v>1</v>
      </c>
      <c r="K402">
        <v>399</v>
      </c>
      <c r="L402" t="s">
        <v>742</v>
      </c>
      <c r="M402" s="29">
        <v>1.4707013888888888E-2</v>
      </c>
      <c r="N402" s="29">
        <v>1.4721006944444445E-2</v>
      </c>
    </row>
    <row r="403" spans="1:14" hidden="1" x14ac:dyDescent="0.3">
      <c r="A403">
        <v>400</v>
      </c>
      <c r="B403" t="s">
        <v>500</v>
      </c>
      <c r="C403" s="29">
        <v>1.472295138888889E-2</v>
      </c>
      <c r="D403" s="29">
        <v>1.4736944444444443E-2</v>
      </c>
      <c r="E403" t="b">
        <f t="shared" si="6"/>
        <v>1</v>
      </c>
      <c r="K403">
        <v>400</v>
      </c>
      <c r="L403" t="s">
        <v>500</v>
      </c>
      <c r="M403" s="29">
        <v>1.4722939814814814E-2</v>
      </c>
      <c r="N403" s="29">
        <v>1.4736944444444443E-2</v>
      </c>
    </row>
    <row r="404" spans="1:14" hidden="1" x14ac:dyDescent="0.3">
      <c r="A404">
        <v>401</v>
      </c>
      <c r="B404" t="s">
        <v>743</v>
      </c>
      <c r="C404" s="29">
        <v>1.4796331018518519E-2</v>
      </c>
      <c r="D404" s="29">
        <v>1.4823842592592592E-2</v>
      </c>
      <c r="E404" t="b">
        <f t="shared" si="6"/>
        <v>1</v>
      </c>
      <c r="K404">
        <v>401</v>
      </c>
      <c r="L404" t="s">
        <v>743</v>
      </c>
      <c r="M404" s="29">
        <v>1.4796319444444445E-2</v>
      </c>
      <c r="N404" s="29">
        <v>1.4823831018518519E-2</v>
      </c>
    </row>
    <row r="405" spans="1:14" hidden="1" x14ac:dyDescent="0.3">
      <c r="A405">
        <v>402</v>
      </c>
      <c r="B405" t="s">
        <v>744</v>
      </c>
      <c r="C405" s="29">
        <v>1.4835428240740739E-2</v>
      </c>
      <c r="D405" s="29">
        <v>1.4871631944444446E-2</v>
      </c>
      <c r="E405" t="b">
        <f t="shared" si="6"/>
        <v>1</v>
      </c>
      <c r="K405">
        <v>402</v>
      </c>
      <c r="L405" t="s">
        <v>744</v>
      </c>
      <c r="M405" s="29">
        <v>1.4835416666666667E-2</v>
      </c>
      <c r="N405" s="29">
        <v>1.4871620370370368E-2</v>
      </c>
    </row>
    <row r="406" spans="1:14" hidden="1" x14ac:dyDescent="0.3">
      <c r="A406">
        <v>403</v>
      </c>
      <c r="B406" t="s">
        <v>745</v>
      </c>
      <c r="C406" s="29">
        <v>1.4892870370370369E-2</v>
      </c>
      <c r="D406" s="29">
        <v>1.4921354166666666E-2</v>
      </c>
      <c r="E406" t="b">
        <f t="shared" si="6"/>
        <v>1</v>
      </c>
      <c r="K406">
        <v>403</v>
      </c>
      <c r="L406" t="s">
        <v>745</v>
      </c>
      <c r="M406" s="29">
        <v>1.4892858796296296E-2</v>
      </c>
      <c r="N406" s="29">
        <v>1.4921342592592592E-2</v>
      </c>
    </row>
    <row r="407" spans="1:14" hidden="1" x14ac:dyDescent="0.3">
      <c r="A407">
        <v>404</v>
      </c>
      <c r="B407" t="s">
        <v>746</v>
      </c>
      <c r="C407" s="29">
        <v>1.4975416666666666E-2</v>
      </c>
      <c r="D407" s="29">
        <v>1.4999074074074074E-2</v>
      </c>
      <c r="E407" t="b">
        <f t="shared" si="6"/>
        <v>1</v>
      </c>
      <c r="K407">
        <v>404</v>
      </c>
      <c r="L407" t="s">
        <v>746</v>
      </c>
      <c r="M407" s="29">
        <v>1.4975405092592592E-2</v>
      </c>
      <c r="N407" s="29">
        <v>1.4997615740740742E-2</v>
      </c>
    </row>
    <row r="408" spans="1:14" hidden="1" x14ac:dyDescent="0.3">
      <c r="A408">
        <v>405</v>
      </c>
      <c r="B408" t="s">
        <v>747</v>
      </c>
      <c r="C408" s="29">
        <v>1.4999560185185185E-2</v>
      </c>
      <c r="D408" s="29">
        <v>1.5024178240740741E-2</v>
      </c>
      <c r="E408" t="b">
        <f t="shared" si="6"/>
        <v>1</v>
      </c>
      <c r="K408">
        <v>405</v>
      </c>
      <c r="L408" t="s">
        <v>747</v>
      </c>
      <c r="M408" s="29">
        <v>1.4999548611111111E-2</v>
      </c>
      <c r="N408" s="29">
        <v>1.5022719907407407E-2</v>
      </c>
    </row>
    <row r="409" spans="1:14" hidden="1" x14ac:dyDescent="0.3">
      <c r="A409">
        <v>406</v>
      </c>
      <c r="B409" t="s">
        <v>748</v>
      </c>
      <c r="C409" s="29">
        <v>1.5024664351851853E-2</v>
      </c>
      <c r="D409" s="29">
        <v>1.5054108796296296E-2</v>
      </c>
      <c r="E409" t="b">
        <f t="shared" si="6"/>
        <v>1</v>
      </c>
      <c r="K409">
        <v>406</v>
      </c>
      <c r="L409" t="s">
        <v>748</v>
      </c>
      <c r="M409" s="29">
        <v>1.5024652777777779E-2</v>
      </c>
      <c r="N409" s="29">
        <v>1.5052650462962962E-2</v>
      </c>
    </row>
    <row r="410" spans="1:14" hidden="1" x14ac:dyDescent="0.3">
      <c r="A410">
        <v>407</v>
      </c>
      <c r="B410" t="s">
        <v>749</v>
      </c>
      <c r="C410" s="29">
        <v>1.5054594907407409E-2</v>
      </c>
      <c r="D410" s="29">
        <v>1.5087418981481479E-2</v>
      </c>
      <c r="E410" t="b">
        <f t="shared" si="6"/>
        <v>1</v>
      </c>
      <c r="K410">
        <v>407</v>
      </c>
      <c r="L410" t="s">
        <v>749</v>
      </c>
      <c r="M410" s="29">
        <v>1.5054583333333331E-2</v>
      </c>
      <c r="N410" s="29">
        <v>1.5085960648148147E-2</v>
      </c>
    </row>
    <row r="411" spans="1:14" hidden="1" x14ac:dyDescent="0.3">
      <c r="A411">
        <v>408</v>
      </c>
      <c r="B411" t="s">
        <v>750</v>
      </c>
      <c r="C411" s="29">
        <v>1.508789351851852E-2</v>
      </c>
      <c r="D411" s="29">
        <v>1.5127002314814814E-2</v>
      </c>
      <c r="E411" t="b">
        <f t="shared" si="6"/>
        <v>1</v>
      </c>
      <c r="K411">
        <v>408</v>
      </c>
      <c r="L411" t="s">
        <v>750</v>
      </c>
      <c r="M411" s="29">
        <v>1.5087881944444445E-2</v>
      </c>
      <c r="N411" s="29">
        <v>1.5126990740740741E-2</v>
      </c>
    </row>
    <row r="412" spans="1:14" hidden="1" x14ac:dyDescent="0.3">
      <c r="A412">
        <v>409</v>
      </c>
      <c r="B412" t="s">
        <v>751</v>
      </c>
      <c r="C412" s="29">
        <v>1.5136655092592592E-2</v>
      </c>
      <c r="D412" s="29">
        <v>1.5159826388888889E-2</v>
      </c>
      <c r="E412" t="b">
        <f t="shared" si="6"/>
        <v>1</v>
      </c>
      <c r="K412">
        <v>409</v>
      </c>
      <c r="L412" t="s">
        <v>751</v>
      </c>
      <c r="M412" s="29">
        <v>1.513664351851852E-2</v>
      </c>
      <c r="N412" s="29">
        <v>1.5159814814814815E-2</v>
      </c>
    </row>
    <row r="413" spans="1:14" hidden="1" x14ac:dyDescent="0.3">
      <c r="A413">
        <v>410</v>
      </c>
      <c r="B413" t="s">
        <v>752</v>
      </c>
      <c r="C413" s="29">
        <v>1.5179131944444445E-2</v>
      </c>
      <c r="D413" s="29">
        <v>1.5206168981481482E-2</v>
      </c>
      <c r="E413" t="b">
        <f t="shared" si="6"/>
        <v>1</v>
      </c>
      <c r="K413">
        <v>410</v>
      </c>
      <c r="L413" t="s">
        <v>752</v>
      </c>
      <c r="M413" s="29">
        <v>1.5179120370370372E-2</v>
      </c>
      <c r="N413" s="29">
        <v>1.5204710648148148E-2</v>
      </c>
    </row>
    <row r="414" spans="1:14" hidden="1" x14ac:dyDescent="0.3">
      <c r="A414">
        <v>411</v>
      </c>
      <c r="B414" t="s">
        <v>753</v>
      </c>
      <c r="C414" s="29">
        <v>1.5206655092592593E-2</v>
      </c>
      <c r="D414" s="29">
        <v>1.5238506944444443E-2</v>
      </c>
      <c r="E414" t="b">
        <f t="shared" si="6"/>
        <v>1</v>
      </c>
      <c r="K414">
        <v>411</v>
      </c>
      <c r="L414" t="s">
        <v>753</v>
      </c>
      <c r="M414" s="29">
        <v>1.5206643518518519E-2</v>
      </c>
      <c r="N414" s="29">
        <v>1.5237048611111111E-2</v>
      </c>
    </row>
    <row r="415" spans="1:14" hidden="1" x14ac:dyDescent="0.3">
      <c r="A415">
        <v>412</v>
      </c>
      <c r="B415" t="s">
        <v>754</v>
      </c>
      <c r="C415" s="29">
        <v>1.5238993055555554E-2</v>
      </c>
      <c r="D415" s="29">
        <v>1.5262164351851853E-2</v>
      </c>
      <c r="E415" t="b">
        <f t="shared" si="6"/>
        <v>1</v>
      </c>
      <c r="K415">
        <v>412</v>
      </c>
      <c r="L415" t="s">
        <v>754</v>
      </c>
      <c r="M415" s="29">
        <v>1.523898148148148E-2</v>
      </c>
      <c r="N415" s="29">
        <v>1.5262152777777779E-2</v>
      </c>
    </row>
    <row r="416" spans="1:14" x14ac:dyDescent="0.3">
      <c r="A416">
        <v>413</v>
      </c>
      <c r="B416" s="23" t="s">
        <v>755</v>
      </c>
      <c r="C416" s="29">
        <v>1.5266030092592591E-2</v>
      </c>
      <c r="D416" s="29">
        <v>1.5333611111111112E-2</v>
      </c>
      <c r="E416" t="b">
        <f t="shared" si="6"/>
        <v>0</v>
      </c>
      <c r="K416">
        <v>413</v>
      </c>
      <c r="L416" s="23" t="s">
        <v>805</v>
      </c>
      <c r="M416" s="29">
        <v>1.5266018518518517E-2</v>
      </c>
      <c r="N416" s="29">
        <v>1.5333599537037038E-2</v>
      </c>
    </row>
    <row r="417" spans="1:14" x14ac:dyDescent="0.3">
      <c r="A417">
        <v>414</v>
      </c>
      <c r="B417" s="23" t="s">
        <v>756</v>
      </c>
      <c r="C417" s="29">
        <v>1.533988425925926E-2</v>
      </c>
      <c r="D417" s="29">
        <v>1.5406504629629631E-2</v>
      </c>
      <c r="E417" t="b">
        <f t="shared" si="6"/>
        <v>0</v>
      </c>
      <c r="K417">
        <v>414</v>
      </c>
      <c r="L417" s="23" t="s">
        <v>806</v>
      </c>
      <c r="M417" s="29">
        <v>1.5339872685185186E-2</v>
      </c>
      <c r="N417" s="29">
        <v>1.5405046296296297E-2</v>
      </c>
    </row>
    <row r="418" spans="1:14" hidden="1" x14ac:dyDescent="0.3">
      <c r="A418">
        <v>415</v>
      </c>
      <c r="B418" t="s">
        <v>757</v>
      </c>
      <c r="C418" s="29">
        <v>1.540699074074074E-2</v>
      </c>
      <c r="D418" s="29">
        <v>1.5435462962962963E-2</v>
      </c>
      <c r="E418" t="b">
        <f t="shared" si="6"/>
        <v>1</v>
      </c>
      <c r="K418">
        <v>415</v>
      </c>
      <c r="L418" t="s">
        <v>757</v>
      </c>
      <c r="M418" s="29">
        <v>1.5406979166666666E-2</v>
      </c>
      <c r="N418" s="29">
        <v>1.5434004629629631E-2</v>
      </c>
    </row>
    <row r="419" spans="1:14" hidden="1" x14ac:dyDescent="0.3">
      <c r="A419">
        <v>416</v>
      </c>
      <c r="B419" t="s">
        <v>758</v>
      </c>
      <c r="C419" s="29">
        <v>1.5435949074074074E-2</v>
      </c>
      <c r="D419" s="29">
        <v>1.5485671296296296E-2</v>
      </c>
      <c r="E419" t="b">
        <f t="shared" si="6"/>
        <v>1</v>
      </c>
      <c r="K419">
        <v>416</v>
      </c>
      <c r="L419" t="s">
        <v>758</v>
      </c>
      <c r="M419" s="29">
        <v>1.54359375E-2</v>
      </c>
      <c r="N419" s="29">
        <v>1.5485659722222222E-2</v>
      </c>
    </row>
    <row r="420" spans="1:14" x14ac:dyDescent="0.3">
      <c r="A420">
        <v>417</v>
      </c>
      <c r="B420" s="23" t="s">
        <v>759</v>
      </c>
      <c r="C420" s="29">
        <v>1.5489050925925925E-2</v>
      </c>
      <c r="D420" s="29">
        <v>1.552525462962963E-2</v>
      </c>
      <c r="E420" t="b">
        <f t="shared" si="6"/>
        <v>0</v>
      </c>
      <c r="K420">
        <v>417</v>
      </c>
      <c r="L420" s="23" t="s">
        <v>807</v>
      </c>
      <c r="M420" s="29">
        <v>1.5489039351851851E-2</v>
      </c>
      <c r="N420" s="29">
        <v>1.5525243055555556E-2</v>
      </c>
    </row>
  </sheetData>
  <autoFilter ref="A2:E420" xr:uid="{C29B3F4C-AB87-4C2A-B6EE-3573023F00C1}">
    <filterColumn colId="4">
      <filters>
        <filter val="FALSE"/>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563ED-FE96-489F-8D02-1A71E4490419}">
  <dimension ref="A3:U350"/>
  <sheetViews>
    <sheetView workbookViewId="0">
      <selection activeCell="B43" sqref="B43"/>
    </sheetView>
  </sheetViews>
  <sheetFormatPr defaultRowHeight="14.4" x14ac:dyDescent="0.3"/>
  <cols>
    <col min="2" max="2" width="46.88671875" style="23" customWidth="1"/>
    <col min="17" max="17" width="56.109375" style="23" customWidth="1"/>
  </cols>
  <sheetData>
    <row r="3" spans="1:21" x14ac:dyDescent="0.3">
      <c r="B3" s="31" t="s">
        <v>760</v>
      </c>
      <c r="Q3" s="31" t="s">
        <v>808</v>
      </c>
    </row>
    <row r="4" spans="1:21" x14ac:dyDescent="0.3">
      <c r="B4" s="23" t="s">
        <v>347</v>
      </c>
      <c r="C4" t="s">
        <v>348</v>
      </c>
      <c r="D4" t="s">
        <v>349</v>
      </c>
      <c r="E4" t="s">
        <v>809</v>
      </c>
      <c r="F4" t="s">
        <v>810</v>
      </c>
      <c r="Q4" s="23" t="s">
        <v>347</v>
      </c>
      <c r="R4" t="s">
        <v>348</v>
      </c>
      <c r="S4" t="s">
        <v>349</v>
      </c>
      <c r="T4" t="s">
        <v>809</v>
      </c>
      <c r="U4" t="s">
        <v>810</v>
      </c>
    </row>
    <row r="5" spans="1:21" x14ac:dyDescent="0.3">
      <c r="A5">
        <v>0</v>
      </c>
      <c r="B5" s="23" t="s">
        <v>811</v>
      </c>
      <c r="C5" s="29">
        <v>1.9328703703703703E-6</v>
      </c>
      <c r="D5" s="29">
        <v>2.8969907407407409E-5</v>
      </c>
      <c r="E5" t="b">
        <f>B5=Q5</f>
        <v>1</v>
      </c>
      <c r="G5" t="b">
        <f>C5=R5</f>
        <v>0</v>
      </c>
      <c r="P5">
        <v>0</v>
      </c>
      <c r="Q5" s="23" t="s">
        <v>811</v>
      </c>
      <c r="R5" s="29">
        <v>1.3518518518518517E-5</v>
      </c>
      <c r="S5" s="29">
        <v>3.9583333333333331E-5</v>
      </c>
    </row>
    <row r="6" spans="1:21" ht="28.8" x14ac:dyDescent="0.3">
      <c r="A6">
        <v>1</v>
      </c>
      <c r="B6" s="23" t="s">
        <v>812</v>
      </c>
      <c r="C6" s="29">
        <v>2.9456018518518516E-5</v>
      </c>
      <c r="D6" s="29">
        <v>5.6967592592592589E-5</v>
      </c>
      <c r="E6" t="b">
        <f t="shared" ref="E6:E69" si="0">B6=Q6</f>
        <v>1</v>
      </c>
      <c r="G6" t="b">
        <f t="shared" ref="G6:G69" si="1">C6=R6</f>
        <v>0</v>
      </c>
      <c r="P6">
        <v>1</v>
      </c>
      <c r="Q6" s="23" t="s">
        <v>812</v>
      </c>
      <c r="R6" s="29">
        <v>4.1516203703703699E-5</v>
      </c>
      <c r="S6" s="29">
        <v>6.7581018518518522E-5</v>
      </c>
    </row>
    <row r="7" spans="1:21" ht="28.8" x14ac:dyDescent="0.3">
      <c r="A7">
        <v>2</v>
      </c>
      <c r="B7" s="23" t="s">
        <v>813</v>
      </c>
      <c r="C7" s="29">
        <v>5.7453703703703707E-5</v>
      </c>
      <c r="D7" s="29">
        <v>9.6550925925925927E-5</v>
      </c>
      <c r="E7" t="b">
        <f t="shared" si="0"/>
        <v>1</v>
      </c>
      <c r="G7" t="b">
        <f t="shared" si="1"/>
        <v>0</v>
      </c>
      <c r="P7">
        <v>2</v>
      </c>
      <c r="Q7" s="23" t="s">
        <v>813</v>
      </c>
      <c r="R7" s="29">
        <v>6.9502314814814814E-5</v>
      </c>
      <c r="S7" s="29">
        <v>1.0716435185185186E-4</v>
      </c>
    </row>
    <row r="8" spans="1:21" ht="28.8" x14ac:dyDescent="0.3">
      <c r="A8">
        <v>3</v>
      </c>
      <c r="B8" s="23" t="s">
        <v>814</v>
      </c>
      <c r="C8" s="29">
        <v>9.7037037037037038E-5</v>
      </c>
      <c r="D8" s="29">
        <v>1.5351851851851852E-4</v>
      </c>
      <c r="E8" t="b">
        <f t="shared" si="0"/>
        <v>1</v>
      </c>
      <c r="G8" t="b">
        <f t="shared" si="1"/>
        <v>0</v>
      </c>
      <c r="P8">
        <v>3</v>
      </c>
      <c r="Q8" s="23" t="s">
        <v>814</v>
      </c>
      <c r="R8" s="29">
        <v>1.0909722222222222E-4</v>
      </c>
      <c r="S8" s="29">
        <v>1.655787037037037E-4</v>
      </c>
    </row>
    <row r="9" spans="1:21" x14ac:dyDescent="0.3">
      <c r="A9">
        <v>4</v>
      </c>
      <c r="B9" s="23" t="s">
        <v>815</v>
      </c>
      <c r="C9" s="29">
        <v>1.679976851851852E-4</v>
      </c>
      <c r="D9" s="29">
        <v>1.9695601851851851E-4</v>
      </c>
      <c r="E9" t="b">
        <f t="shared" si="0"/>
        <v>1</v>
      </c>
      <c r="G9" t="b">
        <f t="shared" si="1"/>
        <v>0</v>
      </c>
      <c r="P9">
        <v>4</v>
      </c>
      <c r="Q9" s="23" t="s">
        <v>815</v>
      </c>
      <c r="R9" s="29">
        <v>1.8005787037037038E-4</v>
      </c>
      <c r="S9" s="29">
        <v>2.0758101851851851E-4</v>
      </c>
    </row>
    <row r="10" spans="1:21" ht="28.8" x14ac:dyDescent="0.3">
      <c r="A10">
        <v>5</v>
      </c>
      <c r="B10" s="23" t="s">
        <v>816</v>
      </c>
      <c r="C10" s="29">
        <v>1.9744212962962963E-4</v>
      </c>
      <c r="D10" s="29">
        <v>2.2930555555555557E-4</v>
      </c>
      <c r="E10" t="b">
        <f t="shared" si="0"/>
        <v>1</v>
      </c>
      <c r="G10" t="b">
        <f t="shared" si="1"/>
        <v>0</v>
      </c>
      <c r="P10">
        <v>5</v>
      </c>
      <c r="Q10" s="23" t="s">
        <v>816</v>
      </c>
      <c r="R10" s="29">
        <v>2.0950231481481482E-4</v>
      </c>
      <c r="S10" s="29">
        <v>2.3991898148148147E-4</v>
      </c>
    </row>
    <row r="11" spans="1:21" x14ac:dyDescent="0.3">
      <c r="A11">
        <v>6</v>
      </c>
      <c r="B11" s="23" t="s">
        <v>502</v>
      </c>
      <c r="C11" s="29">
        <v>2.2979166666666666E-4</v>
      </c>
      <c r="D11" s="29">
        <v>2.4716435185185187E-4</v>
      </c>
      <c r="E11" t="b">
        <f t="shared" si="0"/>
        <v>1</v>
      </c>
      <c r="G11" t="b">
        <f t="shared" si="1"/>
        <v>0</v>
      </c>
      <c r="P11">
        <v>6</v>
      </c>
      <c r="Q11" s="23" t="s">
        <v>502</v>
      </c>
      <c r="R11" s="29">
        <v>2.4185185185185187E-4</v>
      </c>
      <c r="S11" s="29">
        <v>2.5922453703703703E-4</v>
      </c>
    </row>
    <row r="12" spans="1:21" x14ac:dyDescent="0.3">
      <c r="A12">
        <v>7</v>
      </c>
      <c r="B12" s="23" t="s">
        <v>817</v>
      </c>
      <c r="C12" s="29">
        <v>2.5199074074074072E-4</v>
      </c>
      <c r="D12" s="29">
        <v>2.7854166666666663E-4</v>
      </c>
      <c r="E12" t="b">
        <f t="shared" si="0"/>
        <v>1</v>
      </c>
      <c r="G12" t="b">
        <f t="shared" si="1"/>
        <v>0</v>
      </c>
      <c r="P12">
        <v>7</v>
      </c>
      <c r="Q12" s="23" t="s">
        <v>817</v>
      </c>
      <c r="R12" s="29">
        <v>2.6405092592592593E-4</v>
      </c>
      <c r="S12" s="29">
        <v>2.8915509259259259E-4</v>
      </c>
    </row>
    <row r="13" spans="1:21" x14ac:dyDescent="0.3">
      <c r="A13">
        <v>8</v>
      </c>
      <c r="B13" s="23" t="s">
        <v>818</v>
      </c>
      <c r="C13" s="29">
        <v>2.7902777777777778E-4</v>
      </c>
      <c r="D13" s="29">
        <v>3.0413194444444444E-4</v>
      </c>
      <c r="E13" t="b">
        <f t="shared" si="0"/>
        <v>1</v>
      </c>
      <c r="G13" t="b">
        <f t="shared" si="1"/>
        <v>0</v>
      </c>
      <c r="P13">
        <v>8</v>
      </c>
      <c r="Q13" s="23" t="s">
        <v>818</v>
      </c>
      <c r="R13" s="29">
        <v>2.9108796296296294E-4</v>
      </c>
      <c r="S13" s="29">
        <v>3.1619212962962959E-4</v>
      </c>
    </row>
    <row r="14" spans="1:21" x14ac:dyDescent="0.3">
      <c r="A14">
        <v>9</v>
      </c>
      <c r="B14" s="23" t="s">
        <v>819</v>
      </c>
      <c r="C14" s="29">
        <v>3.1474537037037034E-4</v>
      </c>
      <c r="D14" s="29">
        <v>3.4612268518518521E-4</v>
      </c>
      <c r="E14" t="b">
        <f t="shared" si="0"/>
        <v>1</v>
      </c>
      <c r="G14" t="b">
        <f t="shared" si="1"/>
        <v>0</v>
      </c>
      <c r="P14">
        <v>9</v>
      </c>
      <c r="Q14" s="23" t="s">
        <v>819</v>
      </c>
      <c r="R14" s="29">
        <v>3.2681712962962959E-4</v>
      </c>
      <c r="S14" s="29">
        <v>3.5819444444444446E-4</v>
      </c>
    </row>
    <row r="15" spans="1:21" x14ac:dyDescent="0.3">
      <c r="A15">
        <v>10</v>
      </c>
      <c r="B15" s="23" t="s">
        <v>820</v>
      </c>
      <c r="C15" s="29">
        <v>5.126736111111111E-4</v>
      </c>
      <c r="D15" s="29">
        <v>5.5081018518518521E-4</v>
      </c>
      <c r="E15" t="b">
        <f t="shared" si="0"/>
        <v>1</v>
      </c>
      <c r="G15" t="b">
        <f t="shared" si="1"/>
        <v>0</v>
      </c>
      <c r="P15">
        <v>10</v>
      </c>
      <c r="Q15" s="23" t="s">
        <v>820</v>
      </c>
      <c r="R15" s="29">
        <v>5.2473379629629636E-4</v>
      </c>
      <c r="S15" s="29">
        <v>5.6287037037037037E-4</v>
      </c>
    </row>
    <row r="16" spans="1:21" x14ac:dyDescent="0.3">
      <c r="A16">
        <v>11</v>
      </c>
      <c r="B16" s="23" t="s">
        <v>821</v>
      </c>
      <c r="C16" s="29">
        <v>5.5756944444444441E-4</v>
      </c>
      <c r="D16" s="29">
        <v>5.7349537037037037E-4</v>
      </c>
      <c r="E16" t="b">
        <f t="shared" si="0"/>
        <v>1</v>
      </c>
      <c r="G16" t="b">
        <f t="shared" si="1"/>
        <v>0</v>
      </c>
      <c r="P16">
        <v>11</v>
      </c>
      <c r="Q16" s="23" t="s">
        <v>821</v>
      </c>
      <c r="R16" s="29">
        <v>5.6962962962962967E-4</v>
      </c>
      <c r="S16" s="29">
        <v>5.8555555555555553E-4</v>
      </c>
    </row>
    <row r="17" spans="1:19" x14ac:dyDescent="0.3">
      <c r="A17">
        <v>12</v>
      </c>
      <c r="B17" s="23" t="s">
        <v>822</v>
      </c>
      <c r="C17" s="29">
        <v>5.8846064814814818E-4</v>
      </c>
      <c r="D17" s="29">
        <v>6.3384259259259264E-4</v>
      </c>
      <c r="E17" t="b">
        <f t="shared" si="0"/>
        <v>1</v>
      </c>
      <c r="G17" t="b">
        <f t="shared" si="1"/>
        <v>0</v>
      </c>
      <c r="P17">
        <v>12</v>
      </c>
      <c r="Q17" s="23" t="s">
        <v>822</v>
      </c>
      <c r="R17" s="29">
        <v>6.0052083333333333E-4</v>
      </c>
      <c r="S17" s="29">
        <v>6.4445601851851849E-4</v>
      </c>
    </row>
    <row r="18" spans="1:19" x14ac:dyDescent="0.3">
      <c r="A18">
        <v>13</v>
      </c>
      <c r="B18" s="23" t="s">
        <v>823</v>
      </c>
      <c r="C18" s="29">
        <v>6.3431712962962964E-4</v>
      </c>
      <c r="D18" s="29">
        <v>6.5797453703703699E-4</v>
      </c>
      <c r="E18" t="b">
        <f t="shared" si="0"/>
        <v>1</v>
      </c>
      <c r="G18" t="b">
        <f t="shared" si="1"/>
        <v>0</v>
      </c>
      <c r="P18">
        <v>13</v>
      </c>
      <c r="Q18" s="23" t="s">
        <v>823</v>
      </c>
      <c r="R18" s="29">
        <v>6.463773148148148E-4</v>
      </c>
      <c r="S18" s="29">
        <v>6.6858796296296295E-4</v>
      </c>
    </row>
    <row r="19" spans="1:19" ht="28.8" x14ac:dyDescent="0.3">
      <c r="A19">
        <v>14</v>
      </c>
      <c r="B19" s="23" t="s">
        <v>824</v>
      </c>
      <c r="C19" s="29">
        <v>6.5846064814814814E-4</v>
      </c>
      <c r="D19" s="29">
        <v>6.8935185185185191E-4</v>
      </c>
      <c r="E19" t="b">
        <f t="shared" si="0"/>
        <v>1</v>
      </c>
      <c r="G19" t="b">
        <f t="shared" si="1"/>
        <v>0</v>
      </c>
      <c r="P19">
        <v>14</v>
      </c>
      <c r="Q19" s="23" t="s">
        <v>824</v>
      </c>
      <c r="R19" s="29">
        <v>6.705208333333333E-4</v>
      </c>
      <c r="S19" s="29">
        <v>6.9996527777777776E-4</v>
      </c>
    </row>
    <row r="20" spans="1:19" x14ac:dyDescent="0.3">
      <c r="A20">
        <v>15</v>
      </c>
      <c r="B20" s="23" t="s">
        <v>825</v>
      </c>
      <c r="C20" s="29">
        <v>6.8983796296296295E-4</v>
      </c>
      <c r="D20" s="29">
        <v>7.0865740740740741E-4</v>
      </c>
      <c r="E20" t="b">
        <f t="shared" si="0"/>
        <v>1</v>
      </c>
      <c r="G20" t="b">
        <f t="shared" si="1"/>
        <v>0</v>
      </c>
      <c r="P20">
        <v>15</v>
      </c>
      <c r="Q20" s="23" t="s">
        <v>825</v>
      </c>
      <c r="R20" s="29">
        <v>7.0189814814814811E-4</v>
      </c>
      <c r="S20" s="29">
        <v>7.2072916666666672E-4</v>
      </c>
    </row>
    <row r="21" spans="1:19" x14ac:dyDescent="0.3">
      <c r="A21">
        <v>16</v>
      </c>
      <c r="B21" s="23" t="s">
        <v>826</v>
      </c>
      <c r="C21" s="29">
        <v>7.1203703703703707E-4</v>
      </c>
      <c r="D21" s="29">
        <v>7.4872685185185188E-4</v>
      </c>
      <c r="E21" t="b">
        <f t="shared" si="0"/>
        <v>1</v>
      </c>
      <c r="G21" t="b">
        <f t="shared" si="1"/>
        <v>0</v>
      </c>
      <c r="P21">
        <v>16</v>
      </c>
      <c r="Q21" s="23" t="s">
        <v>826</v>
      </c>
      <c r="R21" s="29">
        <v>7.2410879629629637E-4</v>
      </c>
      <c r="S21" s="29">
        <v>7.5934027777777773E-4</v>
      </c>
    </row>
    <row r="22" spans="1:19" x14ac:dyDescent="0.3">
      <c r="A22">
        <v>17</v>
      </c>
      <c r="B22" s="23" t="s">
        <v>827</v>
      </c>
      <c r="C22" s="29">
        <v>7.4921296296296292E-4</v>
      </c>
      <c r="D22" s="29">
        <v>7.6273148148148153E-4</v>
      </c>
      <c r="E22" t="b">
        <f t="shared" si="0"/>
        <v>1</v>
      </c>
      <c r="G22" t="b">
        <f t="shared" si="1"/>
        <v>0</v>
      </c>
      <c r="P22">
        <v>17</v>
      </c>
      <c r="Q22" s="23" t="s">
        <v>827</v>
      </c>
      <c r="R22" s="29">
        <v>7.6127314814814818E-4</v>
      </c>
      <c r="S22" s="29">
        <v>7.7334490740740749E-4</v>
      </c>
    </row>
    <row r="23" spans="1:19" ht="28.8" x14ac:dyDescent="0.3">
      <c r="A23">
        <v>18</v>
      </c>
      <c r="B23" s="23" t="s">
        <v>828</v>
      </c>
      <c r="C23" s="29">
        <v>7.6320601851851853E-4</v>
      </c>
      <c r="D23" s="29">
        <v>7.9120370370370369E-4</v>
      </c>
      <c r="E23" t="b">
        <f t="shared" si="0"/>
        <v>1</v>
      </c>
      <c r="G23" t="b">
        <f t="shared" si="1"/>
        <v>0</v>
      </c>
      <c r="P23">
        <v>18</v>
      </c>
      <c r="Q23" s="23" t="s">
        <v>828</v>
      </c>
      <c r="R23" s="29">
        <v>7.7527777777777773E-4</v>
      </c>
      <c r="S23" s="29">
        <v>8.018287037037038E-4</v>
      </c>
    </row>
    <row r="24" spans="1:19" x14ac:dyDescent="0.3">
      <c r="A24">
        <v>19</v>
      </c>
      <c r="B24" s="23" t="s">
        <v>829</v>
      </c>
      <c r="C24" s="29">
        <v>7.9168981481481484E-4</v>
      </c>
      <c r="D24" s="29">
        <v>8.1775462962962954E-4</v>
      </c>
      <c r="E24" t="b">
        <f t="shared" si="0"/>
        <v>1</v>
      </c>
      <c r="G24" t="b">
        <f t="shared" si="1"/>
        <v>0</v>
      </c>
      <c r="P24">
        <v>19</v>
      </c>
      <c r="Q24" s="23" t="s">
        <v>829</v>
      </c>
      <c r="R24" s="29">
        <v>8.0374999999999999E-4</v>
      </c>
      <c r="S24" s="29">
        <v>8.2837962962962965E-4</v>
      </c>
    </row>
    <row r="25" spans="1:19" ht="28.8" x14ac:dyDescent="0.3">
      <c r="A25">
        <v>20</v>
      </c>
      <c r="B25" s="23" t="s">
        <v>830</v>
      </c>
      <c r="C25" s="29">
        <v>8.1824074074074069E-4</v>
      </c>
      <c r="D25" s="29">
        <v>8.6313657407407411E-4</v>
      </c>
      <c r="E25" t="b">
        <f t="shared" si="0"/>
        <v>1</v>
      </c>
      <c r="G25" t="b">
        <f t="shared" si="1"/>
        <v>0</v>
      </c>
      <c r="P25">
        <v>20</v>
      </c>
      <c r="Q25" s="23" t="s">
        <v>830</v>
      </c>
      <c r="R25" s="29">
        <v>8.3030092592592595E-4</v>
      </c>
      <c r="S25" s="29">
        <v>8.7519675925925927E-4</v>
      </c>
    </row>
    <row r="26" spans="1:19" x14ac:dyDescent="0.3">
      <c r="A26">
        <v>21</v>
      </c>
      <c r="B26" s="23" t="s">
        <v>831</v>
      </c>
      <c r="C26" s="29">
        <v>8.8534722222222226E-4</v>
      </c>
      <c r="D26" s="29">
        <v>9.0754629629629638E-4</v>
      </c>
      <c r="E26" t="b">
        <f t="shared" si="0"/>
        <v>1</v>
      </c>
      <c r="G26" t="b">
        <f t="shared" si="1"/>
        <v>0</v>
      </c>
      <c r="P26">
        <v>21</v>
      </c>
      <c r="Q26" s="23" t="s">
        <v>831</v>
      </c>
      <c r="R26" s="29">
        <v>8.9740740740740742E-4</v>
      </c>
      <c r="S26" s="29">
        <v>9.1960648148148153E-4</v>
      </c>
    </row>
    <row r="27" spans="1:19" x14ac:dyDescent="0.3">
      <c r="A27">
        <v>22</v>
      </c>
      <c r="B27" s="23" t="s">
        <v>832</v>
      </c>
      <c r="C27" s="29">
        <v>9.2010416666666662E-4</v>
      </c>
      <c r="D27" s="29">
        <v>9.3843750000000004E-4</v>
      </c>
      <c r="E27" t="b">
        <f t="shared" si="0"/>
        <v>1</v>
      </c>
      <c r="G27" t="b">
        <f t="shared" si="1"/>
        <v>0</v>
      </c>
      <c r="P27">
        <v>22</v>
      </c>
      <c r="Q27" s="23" t="s">
        <v>832</v>
      </c>
      <c r="R27" s="29">
        <v>9.3216435185185188E-4</v>
      </c>
      <c r="S27" s="29">
        <v>9.5050925925925923E-4</v>
      </c>
    </row>
    <row r="28" spans="1:19" x14ac:dyDescent="0.3">
      <c r="A28">
        <v>23</v>
      </c>
      <c r="B28" s="23" t="s">
        <v>833</v>
      </c>
      <c r="C28" s="29">
        <v>9.5050925925925923E-4</v>
      </c>
      <c r="D28" s="29">
        <v>9.731944444444445E-4</v>
      </c>
      <c r="E28" t="b">
        <f t="shared" si="0"/>
        <v>1</v>
      </c>
      <c r="G28" t="b">
        <f t="shared" si="1"/>
        <v>0</v>
      </c>
      <c r="P28">
        <v>23</v>
      </c>
      <c r="Q28" s="23" t="s">
        <v>833</v>
      </c>
      <c r="R28" s="29">
        <v>9.6256944444444439E-4</v>
      </c>
      <c r="S28" s="29">
        <v>9.8526620370370369E-4</v>
      </c>
    </row>
    <row r="29" spans="1:19" x14ac:dyDescent="0.3">
      <c r="A29">
        <v>24</v>
      </c>
      <c r="B29" s="23" t="s">
        <v>834</v>
      </c>
      <c r="C29" s="29">
        <v>9.8043981481481485E-4</v>
      </c>
      <c r="D29" s="29">
        <v>1.0050578703703703E-3</v>
      </c>
      <c r="E29" t="b">
        <f t="shared" si="0"/>
        <v>1</v>
      </c>
      <c r="G29" t="b">
        <f t="shared" si="1"/>
        <v>0</v>
      </c>
      <c r="P29">
        <v>24</v>
      </c>
      <c r="Q29" s="23" t="s">
        <v>834</v>
      </c>
      <c r="R29" s="29">
        <v>9.9249999999999989E-4</v>
      </c>
      <c r="S29" s="29">
        <v>1.0171180555555556E-3</v>
      </c>
    </row>
    <row r="30" spans="1:19" x14ac:dyDescent="0.3">
      <c r="A30">
        <v>25</v>
      </c>
      <c r="B30" s="23" t="s">
        <v>835</v>
      </c>
      <c r="C30" s="29">
        <v>1.0634722222222222E-3</v>
      </c>
      <c r="D30" s="29">
        <v>1.084710648148148E-3</v>
      </c>
      <c r="E30" t="b">
        <f t="shared" si="0"/>
        <v>1</v>
      </c>
      <c r="G30" t="b">
        <f t="shared" si="1"/>
        <v>0</v>
      </c>
      <c r="P30">
        <v>25</v>
      </c>
      <c r="Q30" s="23" t="s">
        <v>835</v>
      </c>
      <c r="R30" s="29">
        <v>1.0755324074074074E-3</v>
      </c>
      <c r="S30" s="29">
        <v>1.0967708333333333E-3</v>
      </c>
    </row>
    <row r="31" spans="1:19" x14ac:dyDescent="0.3">
      <c r="A31">
        <v>26</v>
      </c>
      <c r="B31" s="23" t="s">
        <v>836</v>
      </c>
      <c r="C31" s="29">
        <v>1.138298611111111E-3</v>
      </c>
      <c r="D31" s="29">
        <v>1.1629166666666667E-3</v>
      </c>
      <c r="E31" t="b">
        <f t="shared" si="0"/>
        <v>1</v>
      </c>
      <c r="G31" t="b">
        <f t="shared" si="1"/>
        <v>0</v>
      </c>
      <c r="P31">
        <v>26</v>
      </c>
      <c r="Q31" s="23" t="s">
        <v>836</v>
      </c>
      <c r="R31" s="29">
        <v>1.1503587962962962E-3</v>
      </c>
      <c r="S31" s="29">
        <v>1.1735300925925926E-3</v>
      </c>
    </row>
    <row r="32" spans="1:19" x14ac:dyDescent="0.3">
      <c r="A32">
        <v>27</v>
      </c>
      <c r="B32" s="23" t="s">
        <v>837</v>
      </c>
      <c r="C32" s="29">
        <v>1.1634027777777777E-3</v>
      </c>
      <c r="D32" s="29">
        <v>1.1938078703703705E-3</v>
      </c>
      <c r="E32" t="b">
        <f t="shared" si="0"/>
        <v>1</v>
      </c>
      <c r="G32" t="b">
        <f t="shared" si="1"/>
        <v>0</v>
      </c>
      <c r="P32">
        <v>27</v>
      </c>
      <c r="Q32" s="23" t="s">
        <v>837</v>
      </c>
      <c r="R32" s="29">
        <v>1.175462962962963E-3</v>
      </c>
      <c r="S32" s="29">
        <v>1.2058680555555555E-3</v>
      </c>
    </row>
    <row r="33" spans="1:19" ht="28.8" x14ac:dyDescent="0.3">
      <c r="A33">
        <v>28</v>
      </c>
      <c r="B33" s="23" t="s">
        <v>838</v>
      </c>
      <c r="C33" s="29">
        <v>1.2193981481481481E-3</v>
      </c>
      <c r="D33" s="29">
        <v>1.2609143518518518E-3</v>
      </c>
      <c r="E33" t="b">
        <f t="shared" si="0"/>
        <v>1</v>
      </c>
      <c r="G33" t="b">
        <f t="shared" si="1"/>
        <v>0</v>
      </c>
      <c r="P33">
        <v>28</v>
      </c>
      <c r="Q33" s="23" t="s">
        <v>838</v>
      </c>
      <c r="R33" s="29">
        <v>1.2314583333333333E-3</v>
      </c>
      <c r="S33" s="29">
        <v>1.2715277777777777E-3</v>
      </c>
    </row>
    <row r="34" spans="1:19" x14ac:dyDescent="0.3">
      <c r="A34">
        <v>29</v>
      </c>
      <c r="B34" s="23" t="s">
        <v>839</v>
      </c>
      <c r="C34" s="29">
        <v>1.2613888888888889E-3</v>
      </c>
      <c r="D34" s="29">
        <v>1.2749074074074073E-3</v>
      </c>
      <c r="E34" t="b">
        <f t="shared" si="0"/>
        <v>1</v>
      </c>
      <c r="G34" t="b">
        <f t="shared" si="1"/>
        <v>0</v>
      </c>
      <c r="P34">
        <v>29</v>
      </c>
      <c r="Q34" s="23" t="s">
        <v>839</v>
      </c>
      <c r="R34" s="29">
        <v>1.2734606481481481E-3</v>
      </c>
      <c r="S34" s="29">
        <v>1.2855208333333334E-3</v>
      </c>
    </row>
    <row r="35" spans="1:19" ht="28.8" x14ac:dyDescent="0.3">
      <c r="A35">
        <v>30</v>
      </c>
      <c r="B35" s="23" t="s">
        <v>840</v>
      </c>
      <c r="C35" s="29">
        <v>1.2753935185185186E-3</v>
      </c>
      <c r="D35" s="29">
        <v>1.3144907407407409E-3</v>
      </c>
      <c r="E35" t="b">
        <f t="shared" si="0"/>
        <v>1</v>
      </c>
      <c r="G35" t="b">
        <f t="shared" si="1"/>
        <v>0</v>
      </c>
      <c r="P35">
        <v>30</v>
      </c>
      <c r="Q35" s="23" t="s">
        <v>840</v>
      </c>
      <c r="R35" s="29">
        <v>1.2874537037037036E-3</v>
      </c>
      <c r="S35" s="29">
        <v>1.3265625000000001E-3</v>
      </c>
    </row>
    <row r="36" spans="1:19" ht="28.8" x14ac:dyDescent="0.3">
      <c r="A36">
        <v>31</v>
      </c>
      <c r="B36" s="23" t="s">
        <v>841</v>
      </c>
      <c r="C36" s="29">
        <v>1.3299421296296295E-3</v>
      </c>
      <c r="D36" s="29">
        <v>1.3656597222222221E-3</v>
      </c>
      <c r="E36" t="b">
        <f t="shared" si="0"/>
        <v>1</v>
      </c>
      <c r="G36" t="b">
        <f t="shared" si="1"/>
        <v>0</v>
      </c>
      <c r="P36">
        <v>31</v>
      </c>
      <c r="Q36" s="23" t="s">
        <v>841</v>
      </c>
      <c r="R36" s="29">
        <v>1.3420023148148148E-3</v>
      </c>
      <c r="S36" s="29">
        <v>1.3762731481481482E-3</v>
      </c>
    </row>
    <row r="37" spans="1:19" ht="28.8" x14ac:dyDescent="0.3">
      <c r="A37">
        <v>32</v>
      </c>
      <c r="B37" s="23" t="s">
        <v>842</v>
      </c>
      <c r="C37" s="29">
        <v>1.3661458333333334E-3</v>
      </c>
      <c r="D37" s="29">
        <v>1.3984953703703703E-3</v>
      </c>
      <c r="E37" t="b">
        <f t="shared" si="0"/>
        <v>1</v>
      </c>
      <c r="G37" t="b">
        <f t="shared" si="1"/>
        <v>0</v>
      </c>
      <c r="P37">
        <v>32</v>
      </c>
      <c r="Q37" s="23" t="s">
        <v>842</v>
      </c>
      <c r="R37" s="29">
        <v>1.3782060185185184E-3</v>
      </c>
      <c r="S37" s="29">
        <v>1.4086226851851851E-3</v>
      </c>
    </row>
    <row r="38" spans="1:19" x14ac:dyDescent="0.3">
      <c r="A38">
        <v>33</v>
      </c>
      <c r="B38" s="23" t="s">
        <v>843</v>
      </c>
      <c r="C38" s="29">
        <v>1.3989699074074074E-3</v>
      </c>
      <c r="D38" s="29">
        <v>1.4342129629629629E-3</v>
      </c>
      <c r="E38" t="b">
        <f t="shared" si="0"/>
        <v>1</v>
      </c>
      <c r="G38" t="b">
        <f t="shared" si="1"/>
        <v>0</v>
      </c>
      <c r="P38">
        <v>33</v>
      </c>
      <c r="Q38" s="23" t="s">
        <v>843</v>
      </c>
      <c r="R38" s="29">
        <v>1.4110300925925926E-3</v>
      </c>
      <c r="S38" s="29">
        <v>1.4448263888888889E-3</v>
      </c>
    </row>
    <row r="39" spans="1:19" x14ac:dyDescent="0.3">
      <c r="A39">
        <v>34</v>
      </c>
      <c r="B39" s="23" t="s">
        <v>844</v>
      </c>
      <c r="C39" s="29">
        <v>1.4346990740740741E-3</v>
      </c>
      <c r="D39" s="29">
        <v>1.4684837962962963E-3</v>
      </c>
      <c r="E39" t="b">
        <f t="shared" si="0"/>
        <v>1</v>
      </c>
      <c r="G39" t="b">
        <f t="shared" si="1"/>
        <v>0</v>
      </c>
      <c r="P39">
        <v>34</v>
      </c>
      <c r="Q39" s="23" t="s">
        <v>844</v>
      </c>
      <c r="R39" s="30">
        <v>1.4467592592592592E-3</v>
      </c>
      <c r="S39" s="29">
        <v>1.4790972222222221E-3</v>
      </c>
    </row>
    <row r="40" spans="1:19" x14ac:dyDescent="0.3">
      <c r="A40">
        <v>35</v>
      </c>
      <c r="B40" s="23" t="s">
        <v>845</v>
      </c>
      <c r="C40" s="29">
        <v>1.4689699074074073E-3</v>
      </c>
      <c r="D40" s="29">
        <v>1.4916550925925924E-3</v>
      </c>
      <c r="E40" t="b">
        <f t="shared" si="0"/>
        <v>1</v>
      </c>
      <c r="G40" t="b">
        <f t="shared" si="1"/>
        <v>0</v>
      </c>
      <c r="P40">
        <v>35</v>
      </c>
      <c r="Q40" s="23" t="s">
        <v>845</v>
      </c>
      <c r="R40" s="29">
        <v>1.4810300925925926E-3</v>
      </c>
      <c r="S40" s="29">
        <v>1.5022685185185184E-3</v>
      </c>
    </row>
    <row r="41" spans="1:19" ht="28.8" x14ac:dyDescent="0.3">
      <c r="A41">
        <v>36</v>
      </c>
      <c r="B41" s="23" t="s">
        <v>846</v>
      </c>
      <c r="C41" s="29">
        <v>1.4921412037037036E-3</v>
      </c>
      <c r="D41" s="29">
        <v>1.5259375000000002E-3</v>
      </c>
      <c r="E41" t="b">
        <f t="shared" si="0"/>
        <v>1</v>
      </c>
      <c r="G41" t="b">
        <f t="shared" si="1"/>
        <v>0</v>
      </c>
      <c r="P41">
        <v>36</v>
      </c>
      <c r="Q41" s="23" t="s">
        <v>846</v>
      </c>
      <c r="R41" s="29">
        <v>1.5042013888888889E-3</v>
      </c>
      <c r="S41" s="29">
        <v>1.536064814814815E-3</v>
      </c>
    </row>
    <row r="42" spans="1:19" ht="28.8" x14ac:dyDescent="0.3">
      <c r="A42">
        <v>37</v>
      </c>
      <c r="B42" s="23" t="s">
        <v>847</v>
      </c>
      <c r="C42" s="29">
        <v>1.5264120370370371E-3</v>
      </c>
      <c r="D42" s="29">
        <v>1.5722800925925926E-3</v>
      </c>
      <c r="E42" t="b">
        <f t="shared" si="0"/>
        <v>1</v>
      </c>
      <c r="G42" t="b">
        <f t="shared" si="1"/>
        <v>0</v>
      </c>
      <c r="P42">
        <v>37</v>
      </c>
      <c r="Q42" s="23" t="s">
        <v>847</v>
      </c>
      <c r="R42" s="29">
        <v>1.5384722222222223E-3</v>
      </c>
      <c r="S42" s="29">
        <v>1.5824074074074074E-3</v>
      </c>
    </row>
    <row r="43" spans="1:19" ht="28.8" x14ac:dyDescent="0.3">
      <c r="A43">
        <v>38</v>
      </c>
      <c r="B43" s="23" t="s">
        <v>848</v>
      </c>
      <c r="C43" s="29">
        <v>1.5727546296296297E-3</v>
      </c>
      <c r="D43" s="29">
        <v>1.6070370370370372E-3</v>
      </c>
      <c r="E43" t="b">
        <f t="shared" si="0"/>
        <v>1</v>
      </c>
      <c r="G43" t="b">
        <f t="shared" si="1"/>
        <v>0</v>
      </c>
      <c r="P43">
        <v>38</v>
      </c>
      <c r="Q43" s="23" t="s">
        <v>848</v>
      </c>
      <c r="R43" s="29">
        <v>1.5848148148148147E-3</v>
      </c>
      <c r="S43" s="29">
        <v>1.6171643518518521E-3</v>
      </c>
    </row>
    <row r="44" spans="1:19" x14ac:dyDescent="0.3">
      <c r="A44">
        <v>39</v>
      </c>
      <c r="B44" s="23" t="s">
        <v>849</v>
      </c>
      <c r="C44" s="29">
        <v>1.6075115740740741E-3</v>
      </c>
      <c r="D44" s="29">
        <v>1.6480671296296295E-3</v>
      </c>
      <c r="E44" t="b">
        <f t="shared" si="0"/>
        <v>1</v>
      </c>
      <c r="G44" t="b">
        <f t="shared" si="1"/>
        <v>0</v>
      </c>
      <c r="P44">
        <v>39</v>
      </c>
      <c r="Q44" s="23" t="s">
        <v>849</v>
      </c>
      <c r="R44" s="29">
        <v>1.6195717592592594E-3</v>
      </c>
      <c r="S44" s="29">
        <v>1.6601273148148148E-3</v>
      </c>
    </row>
    <row r="45" spans="1:19" ht="28.8" x14ac:dyDescent="0.3">
      <c r="A45">
        <v>40</v>
      </c>
      <c r="B45" s="23" t="s">
        <v>850</v>
      </c>
      <c r="C45" s="29">
        <v>1.6562731481481483E-3</v>
      </c>
      <c r="D45" s="29">
        <v>1.6900578703703706E-3</v>
      </c>
      <c r="E45" t="b">
        <f t="shared" si="0"/>
        <v>1</v>
      </c>
      <c r="G45" t="b">
        <f t="shared" si="1"/>
        <v>0</v>
      </c>
      <c r="P45">
        <v>40</v>
      </c>
      <c r="Q45" s="23" t="s">
        <v>850</v>
      </c>
      <c r="R45" s="29">
        <v>1.6683333333333333E-3</v>
      </c>
      <c r="S45" s="29">
        <v>1.7021296296296296E-3</v>
      </c>
    </row>
    <row r="46" spans="1:19" x14ac:dyDescent="0.3">
      <c r="A46">
        <v>41</v>
      </c>
      <c r="B46" s="23" t="s">
        <v>851</v>
      </c>
      <c r="C46" s="29">
        <v>1.709375E-3</v>
      </c>
      <c r="D46" s="29">
        <v>1.7378472222222222E-3</v>
      </c>
      <c r="E46" t="b">
        <f t="shared" si="0"/>
        <v>1</v>
      </c>
      <c r="G46" t="b">
        <f t="shared" si="1"/>
        <v>0</v>
      </c>
      <c r="P46">
        <v>41</v>
      </c>
      <c r="Q46" s="23" t="s">
        <v>851</v>
      </c>
      <c r="R46" s="29">
        <v>1.7214351851851852E-3</v>
      </c>
      <c r="S46" s="29">
        <v>1.7484722222222224E-3</v>
      </c>
    </row>
    <row r="47" spans="1:19" x14ac:dyDescent="0.3">
      <c r="A47">
        <v>42</v>
      </c>
      <c r="B47" s="23" t="s">
        <v>852</v>
      </c>
      <c r="C47" s="29">
        <v>1.7383333333333335E-3</v>
      </c>
      <c r="D47" s="29">
        <v>1.7605439814814814E-3</v>
      </c>
      <c r="E47" t="b">
        <f t="shared" si="0"/>
        <v>1</v>
      </c>
      <c r="G47" t="b">
        <f t="shared" si="1"/>
        <v>0</v>
      </c>
      <c r="P47">
        <v>42</v>
      </c>
      <c r="Q47" s="23" t="s">
        <v>852</v>
      </c>
      <c r="R47" s="29">
        <v>1.7503935185185185E-3</v>
      </c>
      <c r="S47" s="29">
        <v>1.7711574074074073E-3</v>
      </c>
    </row>
    <row r="48" spans="1:19" ht="28.8" x14ac:dyDescent="0.3">
      <c r="A48">
        <v>43</v>
      </c>
      <c r="B48" s="23" t="s">
        <v>853</v>
      </c>
      <c r="C48" s="29">
        <v>1.7610185185185183E-3</v>
      </c>
      <c r="D48" s="29">
        <v>1.8204050925925929E-3</v>
      </c>
      <c r="E48" t="b">
        <f t="shared" si="0"/>
        <v>1</v>
      </c>
      <c r="G48" t="b">
        <f t="shared" si="1"/>
        <v>0</v>
      </c>
      <c r="P48">
        <v>43</v>
      </c>
      <c r="Q48" s="23" t="s">
        <v>853</v>
      </c>
      <c r="R48" s="29">
        <v>1.7730902777777777E-3</v>
      </c>
      <c r="S48" s="29">
        <v>1.8324652777777777E-3</v>
      </c>
    </row>
    <row r="49" spans="1:19" x14ac:dyDescent="0.3">
      <c r="A49">
        <v>44</v>
      </c>
      <c r="B49" s="23" t="s">
        <v>854</v>
      </c>
      <c r="C49" s="29">
        <v>1.8261921296296299E-3</v>
      </c>
      <c r="D49" s="29">
        <v>1.8566087962962963E-3</v>
      </c>
      <c r="E49" t="b">
        <f t="shared" si="0"/>
        <v>1</v>
      </c>
      <c r="G49" t="b">
        <f t="shared" si="1"/>
        <v>0</v>
      </c>
      <c r="P49">
        <v>44</v>
      </c>
      <c r="Q49" s="23" t="s">
        <v>854</v>
      </c>
      <c r="R49" s="29">
        <v>1.8382523148148147E-3</v>
      </c>
      <c r="S49" s="29">
        <v>1.8672222222222222E-3</v>
      </c>
    </row>
    <row r="50" spans="1:19" ht="28.8" x14ac:dyDescent="0.3">
      <c r="A50">
        <v>45</v>
      </c>
      <c r="B50" s="23" t="s">
        <v>855</v>
      </c>
      <c r="C50" s="29">
        <v>1.8570833333333334E-3</v>
      </c>
      <c r="D50" s="29">
        <v>1.8995717592592591E-3</v>
      </c>
      <c r="E50" t="b">
        <f t="shared" si="0"/>
        <v>1</v>
      </c>
      <c r="G50" t="b">
        <f t="shared" si="1"/>
        <v>0</v>
      </c>
      <c r="P50">
        <v>45</v>
      </c>
      <c r="Q50" s="23" t="s">
        <v>855</v>
      </c>
      <c r="R50" s="29">
        <v>1.8691550925925926E-3</v>
      </c>
      <c r="S50" s="29">
        <v>1.9101851851851851E-3</v>
      </c>
    </row>
    <row r="51" spans="1:19" x14ac:dyDescent="0.3">
      <c r="A51">
        <v>46</v>
      </c>
      <c r="B51" s="23" t="s">
        <v>856</v>
      </c>
      <c r="C51" s="29">
        <v>1.9000462962962962E-3</v>
      </c>
      <c r="D51" s="29">
        <v>1.9174305555555555E-3</v>
      </c>
      <c r="E51" t="b">
        <f t="shared" si="0"/>
        <v>1</v>
      </c>
      <c r="G51" t="b">
        <f t="shared" si="1"/>
        <v>0</v>
      </c>
      <c r="P51">
        <v>46</v>
      </c>
      <c r="Q51" s="23" t="s">
        <v>856</v>
      </c>
      <c r="R51" s="29">
        <v>1.9121180555555556E-3</v>
      </c>
      <c r="S51" s="29">
        <v>1.9280439814814815E-3</v>
      </c>
    </row>
    <row r="52" spans="1:19" ht="28.8" x14ac:dyDescent="0.3">
      <c r="A52">
        <v>47</v>
      </c>
      <c r="B52" s="23" t="s">
        <v>857</v>
      </c>
      <c r="C52" s="29">
        <v>1.9179166666666667E-3</v>
      </c>
      <c r="D52" s="29">
        <v>1.9560532407407404E-3</v>
      </c>
      <c r="E52" t="b">
        <f t="shared" si="0"/>
        <v>1</v>
      </c>
      <c r="G52" t="b">
        <f t="shared" si="1"/>
        <v>0</v>
      </c>
      <c r="P52">
        <v>47</v>
      </c>
      <c r="Q52" s="23" t="s">
        <v>857</v>
      </c>
      <c r="R52" s="29">
        <v>1.9299768518518518E-3</v>
      </c>
      <c r="S52" s="29">
        <v>1.9666666666666669E-3</v>
      </c>
    </row>
    <row r="53" spans="1:19" ht="28.8" x14ac:dyDescent="0.3">
      <c r="A53">
        <v>48</v>
      </c>
      <c r="B53" s="23" t="s">
        <v>858</v>
      </c>
      <c r="C53" s="29">
        <v>1.9565277777777775E-3</v>
      </c>
      <c r="D53" s="29">
        <v>2.0038425925925927E-3</v>
      </c>
      <c r="E53" t="b">
        <f t="shared" si="0"/>
        <v>1</v>
      </c>
      <c r="G53" t="b">
        <f t="shared" si="1"/>
        <v>0</v>
      </c>
      <c r="P53">
        <v>48</v>
      </c>
      <c r="Q53" s="23" t="s">
        <v>858</v>
      </c>
      <c r="R53" s="29">
        <v>1.9685995370370369E-3</v>
      </c>
      <c r="S53" s="29">
        <v>2.0158912037037038E-3</v>
      </c>
    </row>
    <row r="54" spans="1:19" x14ac:dyDescent="0.3">
      <c r="A54">
        <v>49</v>
      </c>
      <c r="B54" s="23" t="s">
        <v>859</v>
      </c>
      <c r="C54" s="29">
        <v>2.0139814814814816E-3</v>
      </c>
      <c r="D54" s="29">
        <v>2.0357060185185183E-3</v>
      </c>
      <c r="E54" t="b">
        <f t="shared" si="0"/>
        <v>1</v>
      </c>
      <c r="G54" t="b">
        <f t="shared" si="1"/>
        <v>0</v>
      </c>
      <c r="P54">
        <v>49</v>
      </c>
      <c r="Q54" s="23" t="s">
        <v>859</v>
      </c>
      <c r="R54" s="29">
        <v>2.0260416666666669E-3</v>
      </c>
      <c r="S54" s="29">
        <v>2.0458333333333331E-3</v>
      </c>
    </row>
    <row r="55" spans="1:19" x14ac:dyDescent="0.3">
      <c r="A55">
        <v>50</v>
      </c>
      <c r="B55" s="23" t="s">
        <v>860</v>
      </c>
      <c r="C55" s="29">
        <v>2.0361805555555554E-3</v>
      </c>
      <c r="D55" s="29">
        <v>2.0622453703703705E-3</v>
      </c>
      <c r="E55" t="b">
        <f t="shared" si="0"/>
        <v>1</v>
      </c>
      <c r="G55" t="b">
        <f t="shared" si="1"/>
        <v>0</v>
      </c>
      <c r="P55">
        <v>50</v>
      </c>
      <c r="Q55" s="23" t="s">
        <v>860</v>
      </c>
      <c r="R55" s="29">
        <v>2.0482407407407411E-3</v>
      </c>
      <c r="S55" s="29">
        <v>2.0728703703703703E-3</v>
      </c>
    </row>
    <row r="56" spans="1:19" ht="28.8" x14ac:dyDescent="0.3">
      <c r="A56">
        <v>51</v>
      </c>
      <c r="B56" s="23" t="s">
        <v>861</v>
      </c>
      <c r="C56" s="29">
        <v>2.0627314814814814E-3</v>
      </c>
      <c r="D56" s="29">
        <v>2.1023148148148147E-3</v>
      </c>
      <c r="E56" t="b">
        <f t="shared" si="0"/>
        <v>1</v>
      </c>
      <c r="G56" t="b">
        <f t="shared" si="1"/>
        <v>0</v>
      </c>
      <c r="P56">
        <v>51</v>
      </c>
      <c r="Q56" s="23" t="s">
        <v>861</v>
      </c>
      <c r="R56" s="29">
        <v>2.0747916666666666E-3</v>
      </c>
      <c r="S56" s="29">
        <v>2.1143865740740741E-3</v>
      </c>
    </row>
    <row r="57" spans="1:19" ht="28.8" x14ac:dyDescent="0.3">
      <c r="A57">
        <v>52</v>
      </c>
      <c r="B57" s="23" t="s">
        <v>862</v>
      </c>
      <c r="C57" s="29">
        <v>2.1114930555555553E-3</v>
      </c>
      <c r="D57" s="29">
        <v>2.1457638888888889E-3</v>
      </c>
      <c r="E57" t="b">
        <f t="shared" si="0"/>
        <v>1</v>
      </c>
      <c r="G57" t="b">
        <f t="shared" si="1"/>
        <v>0</v>
      </c>
      <c r="P57">
        <v>52</v>
      </c>
      <c r="Q57" s="23" t="s">
        <v>862</v>
      </c>
      <c r="R57" s="29">
        <v>2.1235532407407405E-3</v>
      </c>
      <c r="S57" s="29">
        <v>2.156377314814815E-3</v>
      </c>
    </row>
    <row r="58" spans="1:19" x14ac:dyDescent="0.3">
      <c r="A58">
        <v>53</v>
      </c>
      <c r="B58" s="23" t="s">
        <v>863</v>
      </c>
      <c r="C58" s="29">
        <v>2.1462500000000002E-3</v>
      </c>
      <c r="D58" s="29">
        <v>2.1737615740740741E-3</v>
      </c>
      <c r="E58" t="b">
        <f t="shared" si="0"/>
        <v>1</v>
      </c>
      <c r="G58" t="b">
        <f t="shared" si="1"/>
        <v>0</v>
      </c>
      <c r="P58">
        <v>53</v>
      </c>
      <c r="Q58" s="23" t="s">
        <v>863</v>
      </c>
      <c r="R58" s="29">
        <v>2.1583101851851854E-3</v>
      </c>
      <c r="S58" s="29">
        <v>2.1858217592592593E-3</v>
      </c>
    </row>
    <row r="59" spans="1:19" x14ac:dyDescent="0.3">
      <c r="A59">
        <v>54</v>
      </c>
      <c r="B59" s="23" t="s">
        <v>864</v>
      </c>
      <c r="C59" s="29">
        <v>2.179560185185185E-3</v>
      </c>
      <c r="D59" s="29">
        <v>2.2061111111111109E-3</v>
      </c>
      <c r="E59" t="b">
        <f t="shared" si="0"/>
        <v>1</v>
      </c>
      <c r="G59" t="b">
        <f t="shared" si="1"/>
        <v>0</v>
      </c>
      <c r="P59">
        <v>54</v>
      </c>
      <c r="Q59" s="23" t="s">
        <v>864</v>
      </c>
      <c r="R59" s="29">
        <v>2.1916203703703703E-3</v>
      </c>
      <c r="S59" s="29">
        <v>2.216724537037037E-3</v>
      </c>
    </row>
    <row r="60" spans="1:19" ht="28.8" x14ac:dyDescent="0.3">
      <c r="A60">
        <v>55</v>
      </c>
      <c r="B60" s="23" t="s">
        <v>865</v>
      </c>
      <c r="C60" s="29">
        <v>2.2065856481481481E-3</v>
      </c>
      <c r="D60" s="29">
        <v>2.2548611111111111E-3</v>
      </c>
      <c r="E60" t="b">
        <f t="shared" si="0"/>
        <v>1</v>
      </c>
      <c r="G60" t="b">
        <f t="shared" si="1"/>
        <v>0</v>
      </c>
      <c r="P60">
        <v>55</v>
      </c>
      <c r="Q60" s="23" t="s">
        <v>865</v>
      </c>
      <c r="R60" s="29">
        <v>2.2186574074074075E-3</v>
      </c>
      <c r="S60" s="29">
        <v>2.2654745370370368E-3</v>
      </c>
    </row>
    <row r="61" spans="1:19" x14ac:dyDescent="0.3">
      <c r="A61">
        <v>56</v>
      </c>
      <c r="B61" s="23" t="s">
        <v>866</v>
      </c>
      <c r="C61" s="29">
        <v>2.255347222222222E-3</v>
      </c>
      <c r="D61" s="29">
        <v>2.282372685185185E-3</v>
      </c>
      <c r="E61" t="b">
        <f t="shared" si="0"/>
        <v>1</v>
      </c>
      <c r="G61" t="b">
        <f t="shared" si="1"/>
        <v>0</v>
      </c>
      <c r="P61">
        <v>56</v>
      </c>
      <c r="Q61" s="23" t="s">
        <v>866</v>
      </c>
      <c r="R61" s="29">
        <v>2.2674074074074072E-3</v>
      </c>
      <c r="S61" s="29">
        <v>2.2944444444444444E-3</v>
      </c>
    </row>
    <row r="62" spans="1:19" x14ac:dyDescent="0.3">
      <c r="A62">
        <v>57</v>
      </c>
      <c r="B62" s="23" t="s">
        <v>867</v>
      </c>
      <c r="C62" s="29">
        <v>2.2896180555555556E-3</v>
      </c>
      <c r="D62" s="29">
        <v>2.3084490740740739E-3</v>
      </c>
      <c r="E62" t="b">
        <f t="shared" si="0"/>
        <v>1</v>
      </c>
      <c r="G62" t="b">
        <f t="shared" si="1"/>
        <v>0</v>
      </c>
      <c r="P62">
        <v>57</v>
      </c>
      <c r="Q62" s="23" t="s">
        <v>867</v>
      </c>
      <c r="R62" s="29">
        <v>2.3016782407407409E-3</v>
      </c>
      <c r="S62" s="29">
        <v>2.3205092592592591E-3</v>
      </c>
    </row>
    <row r="63" spans="1:19" x14ac:dyDescent="0.3">
      <c r="A63">
        <v>58</v>
      </c>
      <c r="B63" s="23" t="s">
        <v>868</v>
      </c>
      <c r="C63" s="29">
        <v>2.3306481481481481E-3</v>
      </c>
      <c r="D63" s="29">
        <v>2.3567245370370369E-3</v>
      </c>
      <c r="E63" t="b">
        <f t="shared" si="0"/>
        <v>1</v>
      </c>
      <c r="G63" t="b">
        <f t="shared" si="1"/>
        <v>0</v>
      </c>
      <c r="P63">
        <v>58</v>
      </c>
      <c r="Q63" s="23" t="s">
        <v>868</v>
      </c>
      <c r="R63" s="29">
        <v>2.3427199074074075E-3</v>
      </c>
      <c r="S63" s="29">
        <v>2.367337962962963E-3</v>
      </c>
    </row>
    <row r="64" spans="1:19" ht="28.8" x14ac:dyDescent="0.3">
      <c r="A64">
        <v>59</v>
      </c>
      <c r="B64" s="23" t="s">
        <v>869</v>
      </c>
      <c r="C64" s="29">
        <v>2.3571990740740741E-3</v>
      </c>
      <c r="D64" s="29">
        <v>2.3861689814814813E-3</v>
      </c>
      <c r="E64" t="b">
        <f t="shared" si="0"/>
        <v>1</v>
      </c>
      <c r="G64" t="b">
        <f t="shared" si="1"/>
        <v>0</v>
      </c>
      <c r="P64">
        <v>59</v>
      </c>
      <c r="Q64" s="23" t="s">
        <v>869</v>
      </c>
      <c r="R64" s="29">
        <v>2.369270833333333E-3</v>
      </c>
      <c r="S64" s="29">
        <v>2.3967824074074074E-3</v>
      </c>
    </row>
    <row r="65" spans="1:19" x14ac:dyDescent="0.3">
      <c r="A65">
        <v>60</v>
      </c>
      <c r="B65" s="23" t="s">
        <v>870</v>
      </c>
      <c r="C65" s="29">
        <v>2.3866435185185184E-3</v>
      </c>
      <c r="D65" s="29">
        <v>2.4093402777777776E-3</v>
      </c>
      <c r="E65" t="b">
        <f t="shared" si="0"/>
        <v>1</v>
      </c>
      <c r="G65" t="b">
        <f t="shared" si="1"/>
        <v>0</v>
      </c>
      <c r="P65">
        <v>60</v>
      </c>
      <c r="Q65" s="23" t="s">
        <v>870</v>
      </c>
      <c r="R65" s="29">
        <v>2.3987152777777778E-3</v>
      </c>
      <c r="S65" s="29">
        <v>2.4199537037037037E-3</v>
      </c>
    </row>
    <row r="66" spans="1:19" x14ac:dyDescent="0.3">
      <c r="A66">
        <v>61</v>
      </c>
      <c r="B66" s="23" t="s">
        <v>871</v>
      </c>
      <c r="C66" s="29">
        <v>2.4098148148148147E-3</v>
      </c>
      <c r="D66" s="29">
        <v>2.4334722222222223E-3</v>
      </c>
      <c r="E66" t="b">
        <f t="shared" si="0"/>
        <v>1</v>
      </c>
      <c r="G66" t="b">
        <f t="shared" si="1"/>
        <v>0</v>
      </c>
      <c r="P66">
        <v>61</v>
      </c>
      <c r="Q66" s="23" t="s">
        <v>871</v>
      </c>
      <c r="R66" s="29">
        <v>2.4218865740740741E-3</v>
      </c>
      <c r="S66" s="29">
        <v>2.4455324074074076E-3</v>
      </c>
    </row>
    <row r="67" spans="1:19" ht="28.8" x14ac:dyDescent="0.3">
      <c r="A67">
        <v>62</v>
      </c>
      <c r="B67" s="23" t="s">
        <v>872</v>
      </c>
      <c r="C67" s="29">
        <v>2.4373379629629632E-3</v>
      </c>
      <c r="D67" s="29">
        <v>2.4749884259259261E-3</v>
      </c>
      <c r="E67" t="b">
        <f t="shared" si="0"/>
        <v>1</v>
      </c>
      <c r="G67" t="b">
        <f t="shared" si="1"/>
        <v>0</v>
      </c>
      <c r="P67">
        <v>62</v>
      </c>
      <c r="Q67" s="23" t="s">
        <v>872</v>
      </c>
      <c r="R67" s="29">
        <v>2.449398148148148E-3</v>
      </c>
      <c r="S67" s="29">
        <v>2.4856018518518517E-3</v>
      </c>
    </row>
    <row r="68" spans="1:19" x14ac:dyDescent="0.3">
      <c r="A68">
        <v>63</v>
      </c>
      <c r="B68" s="23" t="s">
        <v>873</v>
      </c>
      <c r="C68" s="29">
        <v>2.4754745370370369E-3</v>
      </c>
      <c r="D68" s="29">
        <v>2.5140856481481481E-3</v>
      </c>
      <c r="E68" t="b">
        <f t="shared" si="0"/>
        <v>1</v>
      </c>
      <c r="G68" t="b">
        <f t="shared" si="1"/>
        <v>0</v>
      </c>
      <c r="P68">
        <v>63</v>
      </c>
      <c r="Q68" s="23" t="s">
        <v>873</v>
      </c>
      <c r="R68" s="29">
        <v>2.4875347222222221E-3</v>
      </c>
      <c r="S68" s="29">
        <v>2.5261574074074075E-3</v>
      </c>
    </row>
    <row r="69" spans="1:19" x14ac:dyDescent="0.3">
      <c r="A69">
        <v>64</v>
      </c>
      <c r="B69" s="23" t="s">
        <v>874</v>
      </c>
      <c r="C69" s="29">
        <v>2.5184375000000003E-3</v>
      </c>
      <c r="D69" s="29">
        <v>2.5411226851851853E-3</v>
      </c>
      <c r="E69" t="b">
        <f t="shared" si="0"/>
        <v>1</v>
      </c>
      <c r="G69" t="b">
        <f t="shared" si="1"/>
        <v>0</v>
      </c>
      <c r="P69">
        <v>64</v>
      </c>
      <c r="Q69" s="23" t="s">
        <v>874</v>
      </c>
      <c r="R69" s="29">
        <v>2.5304976851851851E-3</v>
      </c>
      <c r="S69" s="29">
        <v>2.551736111111111E-3</v>
      </c>
    </row>
    <row r="70" spans="1:19" ht="28.8" x14ac:dyDescent="0.3">
      <c r="A70">
        <v>65</v>
      </c>
      <c r="B70" s="23" t="s">
        <v>875</v>
      </c>
      <c r="C70" s="29">
        <v>2.5416087962962962E-3</v>
      </c>
      <c r="D70" s="29">
        <v>2.5831250000000004E-3</v>
      </c>
      <c r="E70" t="b">
        <f t="shared" ref="E70:E133" si="2">B70=Q70</f>
        <v>1</v>
      </c>
      <c r="G70" t="b">
        <f t="shared" ref="G70:G133" si="3">C70=R70</f>
        <v>0</v>
      </c>
      <c r="P70">
        <v>65</v>
      </c>
      <c r="Q70" s="23" t="s">
        <v>875</v>
      </c>
      <c r="R70" s="29">
        <v>2.5536689814814814E-3</v>
      </c>
      <c r="S70" s="29">
        <v>2.5951851851851852E-3</v>
      </c>
    </row>
    <row r="71" spans="1:19" ht="28.8" x14ac:dyDescent="0.3">
      <c r="A71">
        <v>66</v>
      </c>
      <c r="B71" s="23" t="s">
        <v>876</v>
      </c>
      <c r="C71" s="29">
        <v>2.5922916666666664E-3</v>
      </c>
      <c r="D71" s="29">
        <v>2.6241550925925924E-3</v>
      </c>
      <c r="E71" t="b">
        <f t="shared" si="2"/>
        <v>1</v>
      </c>
      <c r="G71" t="b">
        <f t="shared" si="3"/>
        <v>0</v>
      </c>
      <c r="P71">
        <v>66</v>
      </c>
      <c r="Q71" s="23" t="s">
        <v>876</v>
      </c>
      <c r="R71" s="29">
        <v>2.6043518518518516E-3</v>
      </c>
      <c r="S71" s="29">
        <v>2.6347685185185185E-3</v>
      </c>
    </row>
    <row r="72" spans="1:19" ht="28.8" x14ac:dyDescent="0.3">
      <c r="A72">
        <v>67</v>
      </c>
      <c r="B72" s="23" t="s">
        <v>877</v>
      </c>
      <c r="C72" s="29">
        <v>2.6246412037037037E-3</v>
      </c>
      <c r="D72" s="29">
        <v>2.6671180555555554E-3</v>
      </c>
      <c r="E72" t="b">
        <f t="shared" si="2"/>
        <v>1</v>
      </c>
      <c r="G72" t="b">
        <f t="shared" si="3"/>
        <v>0</v>
      </c>
      <c r="P72">
        <v>67</v>
      </c>
      <c r="Q72" s="23" t="s">
        <v>877</v>
      </c>
      <c r="R72" s="29">
        <v>2.6367013888888889E-3</v>
      </c>
      <c r="S72" s="29">
        <v>2.6772453703703702E-3</v>
      </c>
    </row>
    <row r="73" spans="1:19" ht="28.8" x14ac:dyDescent="0.3">
      <c r="A73">
        <v>68</v>
      </c>
      <c r="B73" s="23" t="s">
        <v>878</v>
      </c>
      <c r="C73" s="29">
        <v>2.6676041666666666E-3</v>
      </c>
      <c r="D73" s="29">
        <v>2.7071875E-3</v>
      </c>
      <c r="E73" t="b">
        <f t="shared" si="2"/>
        <v>1</v>
      </c>
      <c r="G73" t="b">
        <f t="shared" si="3"/>
        <v>0</v>
      </c>
      <c r="P73">
        <v>68</v>
      </c>
      <c r="Q73" s="23" t="s">
        <v>878</v>
      </c>
      <c r="R73" s="29">
        <v>2.6796643518518519E-3</v>
      </c>
      <c r="S73" s="29">
        <v>2.7192476851851848E-3</v>
      </c>
    </row>
    <row r="74" spans="1:19" x14ac:dyDescent="0.3">
      <c r="A74">
        <v>69</v>
      </c>
      <c r="B74" s="23" t="s">
        <v>879</v>
      </c>
      <c r="C74" s="29">
        <v>2.7211805555555557E-3</v>
      </c>
      <c r="D74" s="29">
        <v>2.7559375000000001E-3</v>
      </c>
      <c r="E74" t="b">
        <f t="shared" si="2"/>
        <v>1</v>
      </c>
      <c r="G74" t="b">
        <f t="shared" si="3"/>
        <v>0</v>
      </c>
      <c r="P74">
        <v>69</v>
      </c>
      <c r="Q74" s="23" t="s">
        <v>879</v>
      </c>
      <c r="R74" s="29">
        <v>2.7332523148148147E-3</v>
      </c>
      <c r="S74" s="29">
        <v>2.7680092592592591E-3</v>
      </c>
    </row>
    <row r="75" spans="1:19" x14ac:dyDescent="0.3">
      <c r="A75">
        <v>70</v>
      </c>
      <c r="B75" s="23" t="s">
        <v>880</v>
      </c>
      <c r="C75" s="29">
        <v>2.7738078703703701E-3</v>
      </c>
      <c r="D75" s="29">
        <v>2.8080787037037037E-3</v>
      </c>
      <c r="E75" t="b">
        <f t="shared" si="2"/>
        <v>1</v>
      </c>
      <c r="G75" t="b">
        <f t="shared" si="3"/>
        <v>0</v>
      </c>
      <c r="P75">
        <v>70</v>
      </c>
      <c r="Q75" s="23" t="s">
        <v>880</v>
      </c>
      <c r="R75" s="29">
        <v>2.7858680555555558E-3</v>
      </c>
      <c r="S75" s="29">
        <v>2.820138888888889E-3</v>
      </c>
    </row>
    <row r="76" spans="1:19" x14ac:dyDescent="0.3">
      <c r="A76">
        <v>71</v>
      </c>
      <c r="B76" s="23" t="s">
        <v>881</v>
      </c>
      <c r="C76" s="29">
        <v>2.8399421296296298E-3</v>
      </c>
      <c r="D76" s="29">
        <v>2.8621412037037035E-3</v>
      </c>
      <c r="E76" t="b">
        <f t="shared" si="2"/>
        <v>1</v>
      </c>
      <c r="G76" t="b">
        <f t="shared" si="3"/>
        <v>0</v>
      </c>
      <c r="P76">
        <v>71</v>
      </c>
      <c r="Q76" s="23" t="s">
        <v>881</v>
      </c>
      <c r="R76" s="29">
        <v>2.852002314814815E-3</v>
      </c>
      <c r="S76" s="29">
        <v>2.8742013888888888E-3</v>
      </c>
    </row>
    <row r="77" spans="1:19" x14ac:dyDescent="0.3">
      <c r="A77">
        <v>72</v>
      </c>
      <c r="B77" s="23" t="s">
        <v>882</v>
      </c>
      <c r="C77" s="29">
        <v>3.2270949074074077E-3</v>
      </c>
      <c r="D77" s="29">
        <v>3.2536458333333336E-3</v>
      </c>
      <c r="E77" t="b">
        <f t="shared" si="2"/>
        <v>1</v>
      </c>
      <c r="G77" t="b">
        <f t="shared" si="3"/>
        <v>0</v>
      </c>
      <c r="P77">
        <v>72</v>
      </c>
      <c r="Q77" s="23" t="s">
        <v>882</v>
      </c>
      <c r="R77" s="29">
        <v>3.2386689814814817E-3</v>
      </c>
      <c r="S77" s="29">
        <v>3.2637731481481485E-3</v>
      </c>
    </row>
    <row r="78" spans="1:19" ht="28.8" x14ac:dyDescent="0.3">
      <c r="A78">
        <v>73</v>
      </c>
      <c r="B78" s="23" t="s">
        <v>883</v>
      </c>
      <c r="C78" s="29">
        <v>3.2541203703703703E-3</v>
      </c>
      <c r="D78" s="29">
        <v>3.2999884259259263E-3</v>
      </c>
      <c r="E78" t="b">
        <f t="shared" si="2"/>
        <v>1</v>
      </c>
      <c r="G78" t="b">
        <f t="shared" si="3"/>
        <v>0</v>
      </c>
      <c r="P78">
        <v>73</v>
      </c>
      <c r="Q78" s="23" t="s">
        <v>883</v>
      </c>
      <c r="R78" s="29">
        <v>3.2657060185185185E-3</v>
      </c>
      <c r="S78" s="29">
        <v>3.3101157407407411E-3</v>
      </c>
    </row>
    <row r="79" spans="1:19" x14ac:dyDescent="0.3">
      <c r="A79">
        <v>74</v>
      </c>
      <c r="B79" s="23" t="s">
        <v>884</v>
      </c>
      <c r="C79" s="29">
        <v>3.3004629629629625E-3</v>
      </c>
      <c r="D79" s="29">
        <v>3.3371527777777774E-3</v>
      </c>
      <c r="E79" t="b">
        <f t="shared" si="2"/>
        <v>1</v>
      </c>
      <c r="G79" t="b">
        <f t="shared" si="3"/>
        <v>0</v>
      </c>
      <c r="P79">
        <v>74</v>
      </c>
      <c r="Q79" s="23" t="s">
        <v>884</v>
      </c>
      <c r="R79" s="29">
        <v>3.3120486111111111E-3</v>
      </c>
      <c r="S79" s="29">
        <v>3.3472916666666668E-3</v>
      </c>
    </row>
    <row r="80" spans="1:19" x14ac:dyDescent="0.3">
      <c r="A80">
        <v>75</v>
      </c>
      <c r="B80" s="23" t="s">
        <v>885</v>
      </c>
      <c r="C80" s="29">
        <v>3.3376388888888891E-3</v>
      </c>
      <c r="D80" s="29">
        <v>3.3598379629629633E-3</v>
      </c>
      <c r="E80" t="b">
        <f t="shared" si="2"/>
        <v>1</v>
      </c>
      <c r="G80" t="b">
        <f t="shared" si="3"/>
        <v>0</v>
      </c>
      <c r="P80">
        <v>75</v>
      </c>
      <c r="Q80" s="23" t="s">
        <v>885</v>
      </c>
      <c r="R80" s="29">
        <v>3.3492129629629631E-3</v>
      </c>
      <c r="S80" s="29">
        <v>3.3699768518518519E-3</v>
      </c>
    </row>
    <row r="81" spans="1:19" x14ac:dyDescent="0.3">
      <c r="A81">
        <v>76</v>
      </c>
      <c r="B81" s="23" t="s">
        <v>886</v>
      </c>
      <c r="C81" s="29">
        <v>3.3603240740740742E-3</v>
      </c>
      <c r="D81" s="29">
        <v>3.3762615740740741E-3</v>
      </c>
      <c r="E81" t="b">
        <f t="shared" si="2"/>
        <v>1</v>
      </c>
      <c r="G81" t="b">
        <f t="shared" si="3"/>
        <v>0</v>
      </c>
      <c r="P81">
        <v>76</v>
      </c>
      <c r="Q81" s="23" t="s">
        <v>886</v>
      </c>
      <c r="R81" s="29">
        <v>3.3719097222222219E-3</v>
      </c>
      <c r="S81" s="29">
        <v>3.3878356481481481E-3</v>
      </c>
    </row>
    <row r="82" spans="1:19" x14ac:dyDescent="0.3">
      <c r="A82">
        <v>77</v>
      </c>
      <c r="B82" s="23" t="s">
        <v>887</v>
      </c>
      <c r="C82" s="29">
        <v>3.4090856481481485E-3</v>
      </c>
      <c r="D82" s="29">
        <v>3.4235648148148146E-3</v>
      </c>
      <c r="E82" t="b">
        <f t="shared" si="2"/>
        <v>1</v>
      </c>
      <c r="G82" t="b">
        <f t="shared" si="3"/>
        <v>0</v>
      </c>
      <c r="P82">
        <v>77</v>
      </c>
      <c r="Q82" s="23" t="s">
        <v>887</v>
      </c>
      <c r="R82" s="29">
        <v>3.4206597222222225E-3</v>
      </c>
      <c r="S82" s="29">
        <v>3.4336921296296294E-3</v>
      </c>
    </row>
    <row r="83" spans="1:19" x14ac:dyDescent="0.3">
      <c r="A83">
        <v>78</v>
      </c>
      <c r="B83" s="23" t="s">
        <v>888</v>
      </c>
      <c r="C83" s="29">
        <v>3.4240509259259263E-3</v>
      </c>
      <c r="D83" s="29">
        <v>3.4491550925925926E-3</v>
      </c>
      <c r="E83" t="b">
        <f t="shared" si="2"/>
        <v>1</v>
      </c>
      <c r="G83" t="b">
        <f t="shared" si="3"/>
        <v>0</v>
      </c>
      <c r="P83">
        <v>78</v>
      </c>
      <c r="Q83" s="23" t="s">
        <v>888</v>
      </c>
      <c r="R83" s="29">
        <v>3.4356250000000003E-3</v>
      </c>
      <c r="S83" s="29">
        <v>3.4592824074074074E-3</v>
      </c>
    </row>
    <row r="84" spans="1:19" x14ac:dyDescent="0.3">
      <c r="A84">
        <v>79</v>
      </c>
      <c r="B84" s="23" t="s">
        <v>889</v>
      </c>
      <c r="C84" s="29">
        <v>3.4496296296296297E-3</v>
      </c>
      <c r="D84" s="29">
        <v>3.4679745370370368E-3</v>
      </c>
      <c r="E84" t="b">
        <f t="shared" si="2"/>
        <v>1</v>
      </c>
      <c r="G84" t="b">
        <f t="shared" si="3"/>
        <v>0</v>
      </c>
      <c r="P84">
        <v>79</v>
      </c>
      <c r="Q84" s="23" t="s">
        <v>889</v>
      </c>
      <c r="R84" s="29">
        <v>3.4612152777777775E-3</v>
      </c>
      <c r="S84" s="29">
        <v>3.4795601851851854E-3</v>
      </c>
    </row>
    <row r="85" spans="1:19" x14ac:dyDescent="0.3">
      <c r="A85">
        <v>80</v>
      </c>
      <c r="B85" s="23" t="s">
        <v>890</v>
      </c>
      <c r="C85" s="29">
        <v>3.5230092592592591E-3</v>
      </c>
      <c r="D85" s="29">
        <v>3.5529398148148148E-3</v>
      </c>
      <c r="E85" t="b">
        <f t="shared" si="2"/>
        <v>1</v>
      </c>
      <c r="G85" t="b">
        <f t="shared" si="3"/>
        <v>0</v>
      </c>
      <c r="P85">
        <v>80</v>
      </c>
      <c r="Q85" s="23" t="s">
        <v>890</v>
      </c>
      <c r="R85" s="29">
        <v>3.5345833333333332E-3</v>
      </c>
      <c r="S85" s="29">
        <v>3.5645138888888888E-3</v>
      </c>
    </row>
    <row r="86" spans="1:19" ht="28.8" x14ac:dyDescent="0.3">
      <c r="A86">
        <v>81</v>
      </c>
      <c r="B86" s="23" t="s">
        <v>891</v>
      </c>
      <c r="C86" s="29">
        <v>3.5587268518518515E-3</v>
      </c>
      <c r="D86" s="29">
        <v>3.6007291666666666E-3</v>
      </c>
      <c r="E86" t="b">
        <f t="shared" si="2"/>
        <v>1</v>
      </c>
      <c r="G86" t="b">
        <f t="shared" si="3"/>
        <v>0</v>
      </c>
      <c r="P86">
        <v>81</v>
      </c>
      <c r="Q86" s="23" t="s">
        <v>891</v>
      </c>
      <c r="R86" s="29">
        <v>3.5703125000000001E-3</v>
      </c>
      <c r="S86" s="29">
        <v>3.612303240740741E-3</v>
      </c>
    </row>
    <row r="87" spans="1:19" x14ac:dyDescent="0.3">
      <c r="A87">
        <v>82</v>
      </c>
      <c r="B87" s="23" t="s">
        <v>892</v>
      </c>
      <c r="C87" s="29">
        <v>3.6123148148148147E-3</v>
      </c>
      <c r="D87" s="29">
        <v>3.633553240740741E-3</v>
      </c>
      <c r="E87" t="b">
        <f t="shared" si="2"/>
        <v>1</v>
      </c>
      <c r="G87" t="b">
        <f t="shared" si="3"/>
        <v>0</v>
      </c>
      <c r="P87">
        <v>82</v>
      </c>
      <c r="Q87" s="23" t="s">
        <v>892</v>
      </c>
      <c r="R87" s="29">
        <v>3.6238888888888887E-3</v>
      </c>
      <c r="S87" s="29">
        <v>3.6451388888888887E-3</v>
      </c>
    </row>
    <row r="88" spans="1:19" x14ac:dyDescent="0.3">
      <c r="A88">
        <v>83</v>
      </c>
      <c r="B88" s="23" t="s">
        <v>893</v>
      </c>
      <c r="C88" s="29">
        <v>3.6470717592592588E-3</v>
      </c>
      <c r="D88" s="29">
        <v>3.6620370370370366E-3</v>
      </c>
      <c r="E88" t="b">
        <f t="shared" si="2"/>
        <v>1</v>
      </c>
      <c r="G88" t="b">
        <f t="shared" si="3"/>
        <v>0</v>
      </c>
      <c r="P88">
        <v>83</v>
      </c>
      <c r="Q88" s="23" t="s">
        <v>893</v>
      </c>
      <c r="R88" s="29">
        <v>3.6586458333333332E-3</v>
      </c>
      <c r="S88" s="29">
        <v>3.673611111111111E-3</v>
      </c>
    </row>
    <row r="89" spans="1:19" ht="28.8" x14ac:dyDescent="0.3">
      <c r="A89">
        <v>84</v>
      </c>
      <c r="B89" s="23" t="s">
        <v>894</v>
      </c>
      <c r="C89" s="29">
        <v>3.6668634259259258E-3</v>
      </c>
      <c r="D89" s="29">
        <v>3.7218981481481482E-3</v>
      </c>
      <c r="E89" t="b">
        <f t="shared" si="2"/>
        <v>1</v>
      </c>
      <c r="G89" t="b">
        <f t="shared" si="3"/>
        <v>0</v>
      </c>
      <c r="P89">
        <v>84</v>
      </c>
      <c r="Q89" s="23" t="s">
        <v>894</v>
      </c>
      <c r="R89" s="29">
        <v>3.678449074074074E-3</v>
      </c>
      <c r="S89" s="29">
        <v>3.7334722222222222E-3</v>
      </c>
    </row>
    <row r="90" spans="1:19" ht="28.8" x14ac:dyDescent="0.3">
      <c r="A90">
        <v>85</v>
      </c>
      <c r="B90" s="23" t="s">
        <v>895</v>
      </c>
      <c r="C90" s="29">
        <v>3.7354166666666668E-3</v>
      </c>
      <c r="D90" s="29">
        <v>3.7745138888888889E-3</v>
      </c>
      <c r="E90" t="b">
        <f t="shared" si="2"/>
        <v>1</v>
      </c>
      <c r="G90" t="b">
        <f t="shared" si="3"/>
        <v>0</v>
      </c>
      <c r="P90">
        <v>85</v>
      </c>
      <c r="Q90" s="23" t="s">
        <v>895</v>
      </c>
      <c r="R90" s="29">
        <v>3.7469907407407408E-3</v>
      </c>
      <c r="S90" s="29">
        <v>3.7860879629629629E-3</v>
      </c>
    </row>
    <row r="91" spans="1:19" x14ac:dyDescent="0.3">
      <c r="A91">
        <v>86</v>
      </c>
      <c r="B91" s="23" t="s">
        <v>896</v>
      </c>
      <c r="C91" s="29">
        <v>3.7894791666666667E-3</v>
      </c>
      <c r="D91" s="29">
        <v>3.8276157407407408E-3</v>
      </c>
      <c r="E91" t="b">
        <f t="shared" si="2"/>
        <v>1</v>
      </c>
      <c r="G91" t="b">
        <f t="shared" si="3"/>
        <v>0</v>
      </c>
      <c r="P91">
        <v>86</v>
      </c>
      <c r="Q91" s="23" t="s">
        <v>896</v>
      </c>
      <c r="R91" s="29">
        <v>3.8010532407407407E-3</v>
      </c>
      <c r="S91" s="29">
        <v>3.8391898148148148E-3</v>
      </c>
    </row>
    <row r="92" spans="1:19" ht="28.8" x14ac:dyDescent="0.3">
      <c r="A92">
        <v>87</v>
      </c>
      <c r="B92" s="23" t="s">
        <v>897</v>
      </c>
      <c r="C92" s="29">
        <v>3.8358217592592593E-3</v>
      </c>
      <c r="D92" s="29">
        <v>3.8768518518518518E-3</v>
      </c>
      <c r="E92" t="b">
        <f t="shared" si="2"/>
        <v>1</v>
      </c>
      <c r="G92" t="b">
        <f t="shared" si="3"/>
        <v>0</v>
      </c>
      <c r="P92">
        <v>87</v>
      </c>
      <c r="Q92" s="23" t="s">
        <v>897</v>
      </c>
      <c r="R92" s="29">
        <v>3.8473958333333337E-3</v>
      </c>
      <c r="S92" s="29">
        <v>3.8869907407407408E-3</v>
      </c>
    </row>
    <row r="93" spans="1:19" x14ac:dyDescent="0.3">
      <c r="A93">
        <v>88</v>
      </c>
      <c r="B93" s="23" t="s">
        <v>898</v>
      </c>
      <c r="C93" s="29">
        <v>3.8773379629629631E-3</v>
      </c>
      <c r="D93" s="29">
        <v>3.8951967592592593E-3</v>
      </c>
      <c r="E93" t="b">
        <f t="shared" si="2"/>
        <v>1</v>
      </c>
      <c r="G93" t="b">
        <f t="shared" si="3"/>
        <v>0</v>
      </c>
      <c r="P93">
        <v>88</v>
      </c>
      <c r="Q93" s="23" t="s">
        <v>898</v>
      </c>
      <c r="R93" s="29">
        <v>3.8889120370370371E-3</v>
      </c>
      <c r="S93" s="29">
        <v>3.9053240740740741E-3</v>
      </c>
    </row>
    <row r="94" spans="1:19" x14ac:dyDescent="0.3">
      <c r="A94">
        <v>89</v>
      </c>
      <c r="B94" s="23" t="s">
        <v>899</v>
      </c>
      <c r="C94" s="29">
        <v>3.8956828703703701E-3</v>
      </c>
      <c r="D94" s="29">
        <v>3.9222337962962961E-3</v>
      </c>
      <c r="E94" t="b">
        <f t="shared" si="2"/>
        <v>1</v>
      </c>
      <c r="G94" t="b">
        <f t="shared" si="3"/>
        <v>0</v>
      </c>
      <c r="P94">
        <v>89</v>
      </c>
      <c r="Q94" s="23" t="s">
        <v>899</v>
      </c>
      <c r="R94" s="29">
        <v>3.9072569444444441E-3</v>
      </c>
      <c r="S94" s="29">
        <v>3.9323611111111104E-3</v>
      </c>
    </row>
    <row r="95" spans="1:19" ht="28.8" x14ac:dyDescent="0.3">
      <c r="A95">
        <v>90</v>
      </c>
      <c r="B95" s="23" t="s">
        <v>900</v>
      </c>
      <c r="C95" s="29">
        <v>3.9227083333333336E-3</v>
      </c>
      <c r="D95" s="29">
        <v>3.969537037037037E-3</v>
      </c>
      <c r="E95" t="b">
        <f t="shared" si="2"/>
        <v>1</v>
      </c>
      <c r="G95" t="b">
        <f t="shared" si="3"/>
        <v>0</v>
      </c>
      <c r="P95">
        <v>90</v>
      </c>
      <c r="Q95" s="23" t="s">
        <v>900</v>
      </c>
      <c r="R95" s="29">
        <v>3.9342939814814813E-3</v>
      </c>
      <c r="S95" s="29">
        <v>3.9811226851851848E-3</v>
      </c>
    </row>
    <row r="96" spans="1:19" ht="28.8" x14ac:dyDescent="0.3">
      <c r="A96">
        <v>91</v>
      </c>
      <c r="B96" s="23" t="s">
        <v>901</v>
      </c>
      <c r="C96" s="29">
        <v>3.9787152777777781E-3</v>
      </c>
      <c r="D96" s="29">
        <v>4.0332638888888892E-3</v>
      </c>
      <c r="E96" t="b">
        <f t="shared" si="2"/>
        <v>1</v>
      </c>
      <c r="G96" t="b">
        <f t="shared" si="3"/>
        <v>0</v>
      </c>
      <c r="P96">
        <v>91</v>
      </c>
      <c r="Q96" s="23" t="s">
        <v>901</v>
      </c>
      <c r="R96" s="29">
        <v>3.9902893518518525E-3</v>
      </c>
      <c r="S96" s="29">
        <v>4.0448379629629628E-3</v>
      </c>
    </row>
    <row r="97" spans="1:19" x14ac:dyDescent="0.3">
      <c r="A97">
        <v>92</v>
      </c>
      <c r="B97" s="23" t="s">
        <v>902</v>
      </c>
      <c r="C97" s="29">
        <v>4.0564351851851855E-3</v>
      </c>
      <c r="D97" s="29">
        <v>4.0868402777777778E-3</v>
      </c>
      <c r="E97" t="b">
        <f t="shared" si="2"/>
        <v>1</v>
      </c>
      <c r="G97" t="b">
        <f t="shared" si="3"/>
        <v>0</v>
      </c>
      <c r="P97">
        <v>92</v>
      </c>
      <c r="Q97" s="23" t="s">
        <v>902</v>
      </c>
      <c r="R97" s="29">
        <v>4.0680092592592591E-3</v>
      </c>
      <c r="S97" s="29">
        <v>4.0984259259259255E-3</v>
      </c>
    </row>
    <row r="98" spans="1:19" x14ac:dyDescent="0.3">
      <c r="A98">
        <v>93</v>
      </c>
      <c r="B98" s="23" t="s">
        <v>903</v>
      </c>
      <c r="C98" s="29">
        <v>4.1563541666666667E-3</v>
      </c>
      <c r="D98" s="29">
        <v>4.1727662037037037E-3</v>
      </c>
      <c r="E98" t="b">
        <f t="shared" si="2"/>
        <v>1</v>
      </c>
      <c r="G98" t="b">
        <f t="shared" si="3"/>
        <v>0</v>
      </c>
      <c r="P98">
        <v>93</v>
      </c>
      <c r="Q98" s="23" t="s">
        <v>903</v>
      </c>
      <c r="R98" s="29">
        <v>4.1679398148148153E-3</v>
      </c>
      <c r="S98" s="29">
        <v>4.1843518518518523E-3</v>
      </c>
    </row>
    <row r="99" spans="1:19" x14ac:dyDescent="0.3">
      <c r="A99">
        <v>94</v>
      </c>
      <c r="B99" s="23" t="s">
        <v>904</v>
      </c>
      <c r="C99" s="29">
        <v>4.1877314814814815E-3</v>
      </c>
      <c r="D99" s="29">
        <v>4.2157291666666662E-3</v>
      </c>
      <c r="E99" t="b">
        <f t="shared" si="2"/>
        <v>1</v>
      </c>
      <c r="G99" t="b">
        <f t="shared" si="3"/>
        <v>0</v>
      </c>
      <c r="P99">
        <v>94</v>
      </c>
      <c r="Q99" s="23" t="s">
        <v>904</v>
      </c>
      <c r="R99" s="29">
        <v>4.1993171296296301E-3</v>
      </c>
      <c r="S99" s="29">
        <v>4.2258680555555556E-3</v>
      </c>
    </row>
    <row r="100" spans="1:19" x14ac:dyDescent="0.3">
      <c r="A100">
        <v>95</v>
      </c>
      <c r="B100" s="23" t="s">
        <v>905</v>
      </c>
      <c r="C100" s="29">
        <v>4.2162152777777779E-3</v>
      </c>
      <c r="D100" s="29">
        <v>4.2446990740740743E-3</v>
      </c>
      <c r="E100" t="b">
        <f t="shared" si="2"/>
        <v>1</v>
      </c>
      <c r="G100" t="b">
        <f t="shared" si="3"/>
        <v>0</v>
      </c>
      <c r="P100">
        <v>95</v>
      </c>
      <c r="Q100" s="23" t="s">
        <v>905</v>
      </c>
      <c r="R100" s="29">
        <v>4.2278009259259256E-3</v>
      </c>
      <c r="S100" s="29">
        <v>4.2562731481481488E-3</v>
      </c>
    </row>
    <row r="101" spans="1:19" x14ac:dyDescent="0.3">
      <c r="A101">
        <v>96</v>
      </c>
      <c r="B101" s="23" t="s">
        <v>906</v>
      </c>
      <c r="C101" s="29">
        <v>4.3132407407407408E-3</v>
      </c>
      <c r="D101" s="29">
        <v>4.3364120370370371E-3</v>
      </c>
      <c r="E101" t="b">
        <f t="shared" si="2"/>
        <v>1</v>
      </c>
      <c r="G101" t="b">
        <f t="shared" si="3"/>
        <v>0</v>
      </c>
      <c r="P101">
        <v>96</v>
      </c>
      <c r="Q101" s="23" t="s">
        <v>906</v>
      </c>
      <c r="R101" s="29">
        <v>4.3248263888888893E-3</v>
      </c>
      <c r="S101" s="29">
        <v>4.3479976851851848E-3</v>
      </c>
    </row>
    <row r="102" spans="1:19" x14ac:dyDescent="0.3">
      <c r="A102">
        <v>97</v>
      </c>
      <c r="B102" s="23" t="s">
        <v>907</v>
      </c>
      <c r="C102" s="29">
        <v>4.3436574074074072E-3</v>
      </c>
      <c r="D102" s="29">
        <v>4.3740740740740745E-3</v>
      </c>
      <c r="E102" t="b">
        <f t="shared" si="2"/>
        <v>1</v>
      </c>
      <c r="G102" t="b">
        <f t="shared" si="3"/>
        <v>0</v>
      </c>
      <c r="P102">
        <v>97</v>
      </c>
      <c r="Q102" s="23" t="s">
        <v>907</v>
      </c>
      <c r="R102" s="29">
        <v>4.3552430555555558E-3</v>
      </c>
      <c r="S102" s="29">
        <v>4.3842013888888889E-3</v>
      </c>
    </row>
    <row r="103" spans="1:19" x14ac:dyDescent="0.3">
      <c r="A103">
        <v>98</v>
      </c>
      <c r="B103" s="23" t="s">
        <v>573</v>
      </c>
      <c r="C103" s="29">
        <v>4.3745486111111112E-3</v>
      </c>
      <c r="D103" s="29">
        <v>4.3899999999999998E-3</v>
      </c>
      <c r="E103" t="b">
        <f t="shared" si="2"/>
        <v>1</v>
      </c>
      <c r="G103" t="b">
        <f t="shared" si="3"/>
        <v>0</v>
      </c>
      <c r="P103">
        <v>98</v>
      </c>
      <c r="Q103" s="23" t="s">
        <v>573</v>
      </c>
      <c r="R103" s="29">
        <v>4.3861342592592589E-3</v>
      </c>
      <c r="S103" s="29">
        <v>4.400127314814815E-3</v>
      </c>
    </row>
    <row r="104" spans="1:19" x14ac:dyDescent="0.3">
      <c r="A104">
        <v>99</v>
      </c>
      <c r="B104" s="23" t="s">
        <v>908</v>
      </c>
      <c r="C104" s="29">
        <v>4.3904861111111115E-3</v>
      </c>
      <c r="D104" s="29">
        <v>4.4136574074074069E-3</v>
      </c>
      <c r="E104" t="b">
        <f t="shared" si="2"/>
        <v>1</v>
      </c>
      <c r="G104" t="b">
        <f t="shared" si="3"/>
        <v>0</v>
      </c>
      <c r="P104">
        <v>99</v>
      </c>
      <c r="Q104" s="23" t="s">
        <v>908</v>
      </c>
      <c r="R104" s="29">
        <v>4.4020601851851851E-3</v>
      </c>
      <c r="S104" s="29">
        <v>4.4252314814814814E-3</v>
      </c>
    </row>
    <row r="105" spans="1:19" x14ac:dyDescent="0.3">
      <c r="A105">
        <v>100</v>
      </c>
      <c r="B105" s="23" t="s">
        <v>573</v>
      </c>
      <c r="C105" s="29">
        <v>4.4199305555555554E-3</v>
      </c>
      <c r="D105" s="29">
        <v>4.4324768518518524E-3</v>
      </c>
      <c r="E105" t="b">
        <f t="shared" si="2"/>
        <v>1</v>
      </c>
      <c r="G105" t="b">
        <f t="shared" si="3"/>
        <v>0</v>
      </c>
      <c r="P105">
        <v>100</v>
      </c>
      <c r="Q105" s="23" t="s">
        <v>573</v>
      </c>
      <c r="R105" s="29">
        <v>4.4315162037037031E-3</v>
      </c>
      <c r="S105" s="29">
        <v>4.4440625000000001E-3</v>
      </c>
    </row>
    <row r="106" spans="1:19" x14ac:dyDescent="0.3">
      <c r="A106">
        <v>101</v>
      </c>
      <c r="B106" s="23" t="s">
        <v>909</v>
      </c>
      <c r="C106" s="29">
        <v>4.4363425925925924E-3</v>
      </c>
      <c r="D106" s="29">
        <v>4.4653124999999997E-3</v>
      </c>
      <c r="E106" t="b">
        <f t="shared" si="2"/>
        <v>1</v>
      </c>
      <c r="G106" t="b">
        <f t="shared" si="3"/>
        <v>0</v>
      </c>
      <c r="P106">
        <v>101</v>
      </c>
      <c r="Q106" s="23" t="s">
        <v>909</v>
      </c>
      <c r="R106" s="29">
        <v>4.447928240740741E-3</v>
      </c>
      <c r="S106" s="29">
        <v>4.4768865740740741E-3</v>
      </c>
    </row>
    <row r="107" spans="1:19" ht="28.8" x14ac:dyDescent="0.3">
      <c r="A107">
        <v>102</v>
      </c>
      <c r="B107" s="23" t="s">
        <v>910</v>
      </c>
      <c r="C107" s="29">
        <v>4.4928240740740744E-3</v>
      </c>
      <c r="D107" s="29">
        <v>4.5406134259259254E-3</v>
      </c>
      <c r="E107" t="b">
        <f t="shared" si="2"/>
        <v>1</v>
      </c>
      <c r="G107" t="b">
        <f t="shared" si="3"/>
        <v>0</v>
      </c>
      <c r="P107">
        <v>102</v>
      </c>
      <c r="Q107" s="23" t="s">
        <v>910</v>
      </c>
      <c r="R107" s="29">
        <v>4.504398148148148E-3</v>
      </c>
      <c r="S107" s="29">
        <v>4.5507407407407406E-3</v>
      </c>
    </row>
    <row r="108" spans="1:19" x14ac:dyDescent="0.3">
      <c r="A108">
        <v>103</v>
      </c>
      <c r="B108" s="23" t="s">
        <v>911</v>
      </c>
      <c r="C108" s="29">
        <v>4.5410995370370371E-3</v>
      </c>
      <c r="D108" s="29">
        <v>4.5546180555555557E-3</v>
      </c>
      <c r="E108" t="b">
        <f t="shared" si="2"/>
        <v>1</v>
      </c>
      <c r="G108" t="b">
        <f t="shared" si="3"/>
        <v>0</v>
      </c>
      <c r="P108">
        <v>103</v>
      </c>
      <c r="Q108" s="23" t="s">
        <v>911</v>
      </c>
      <c r="R108" s="29">
        <v>4.5526736111111115E-3</v>
      </c>
      <c r="S108" s="29">
        <v>4.5647337962962968E-3</v>
      </c>
    </row>
    <row r="109" spans="1:19" ht="28.8" x14ac:dyDescent="0.3">
      <c r="A109">
        <v>104</v>
      </c>
      <c r="B109" s="23" t="s">
        <v>912</v>
      </c>
      <c r="C109" s="29">
        <v>4.5550925925925924E-3</v>
      </c>
      <c r="D109" s="29">
        <v>4.5951620370370374E-3</v>
      </c>
      <c r="E109" t="b">
        <f t="shared" si="2"/>
        <v>1</v>
      </c>
      <c r="G109" t="b">
        <f t="shared" si="3"/>
        <v>0</v>
      </c>
      <c r="P109">
        <v>104</v>
      </c>
      <c r="Q109" s="23" t="s">
        <v>912</v>
      </c>
      <c r="R109" s="29">
        <v>4.5666782407407401E-3</v>
      </c>
      <c r="S109" s="29">
        <v>4.6053009259259259E-3</v>
      </c>
    </row>
    <row r="110" spans="1:19" x14ac:dyDescent="0.3">
      <c r="A110">
        <v>105</v>
      </c>
      <c r="B110" s="23" t="s">
        <v>913</v>
      </c>
      <c r="C110" s="29">
        <v>4.5956481481481482E-3</v>
      </c>
      <c r="D110" s="29">
        <v>4.6154398148148144E-3</v>
      </c>
      <c r="E110" t="b">
        <f t="shared" si="2"/>
        <v>1</v>
      </c>
      <c r="G110" t="b">
        <f t="shared" si="3"/>
        <v>0</v>
      </c>
      <c r="P110">
        <v>105</v>
      </c>
      <c r="Q110" s="23" t="s">
        <v>913</v>
      </c>
      <c r="R110" s="29">
        <v>4.6072222222222226E-3</v>
      </c>
      <c r="S110" s="29">
        <v>4.6255671296296296E-3</v>
      </c>
    </row>
    <row r="111" spans="1:19" ht="28.8" x14ac:dyDescent="0.3">
      <c r="A111">
        <v>106</v>
      </c>
      <c r="B111" s="23" t="s">
        <v>914</v>
      </c>
      <c r="C111" s="29">
        <v>4.6159259259259261E-3</v>
      </c>
      <c r="D111" s="29">
        <v>4.6487500000000001E-3</v>
      </c>
      <c r="E111" t="b">
        <f t="shared" si="2"/>
        <v>1</v>
      </c>
      <c r="G111" t="b">
        <f t="shared" si="3"/>
        <v>0</v>
      </c>
      <c r="P111">
        <v>106</v>
      </c>
      <c r="Q111" s="23" t="s">
        <v>914</v>
      </c>
      <c r="R111" s="29">
        <v>4.6275000000000005E-3</v>
      </c>
      <c r="S111" s="29">
        <v>4.6588773148148145E-3</v>
      </c>
    </row>
    <row r="112" spans="1:19" ht="28.8" x14ac:dyDescent="0.3">
      <c r="A112">
        <v>107</v>
      </c>
      <c r="B112" s="23" t="s">
        <v>915</v>
      </c>
      <c r="C112" s="29">
        <v>4.6492245370370368E-3</v>
      </c>
      <c r="D112" s="29">
        <v>4.6912268518518518E-3</v>
      </c>
      <c r="E112" t="b">
        <f t="shared" si="2"/>
        <v>1</v>
      </c>
      <c r="G112" t="b">
        <f t="shared" si="3"/>
        <v>0</v>
      </c>
      <c r="P112">
        <v>107</v>
      </c>
      <c r="Q112" s="23" t="s">
        <v>915</v>
      </c>
      <c r="R112" s="29">
        <v>4.6608101851851854E-3</v>
      </c>
      <c r="S112" s="29">
        <v>4.701354166666667E-3</v>
      </c>
    </row>
    <row r="113" spans="1:19" x14ac:dyDescent="0.3">
      <c r="A113">
        <v>108</v>
      </c>
      <c r="B113" s="23" t="s">
        <v>916</v>
      </c>
      <c r="C113" s="29">
        <v>4.6917129629629626E-3</v>
      </c>
      <c r="D113" s="29">
        <v>4.7158449074074073E-3</v>
      </c>
      <c r="E113" t="b">
        <f t="shared" si="2"/>
        <v>1</v>
      </c>
      <c r="G113" t="b">
        <f t="shared" si="3"/>
        <v>0</v>
      </c>
      <c r="P113">
        <v>108</v>
      </c>
      <c r="Q113" s="23" t="s">
        <v>916</v>
      </c>
      <c r="R113" s="29">
        <v>4.7032870370370371E-3</v>
      </c>
      <c r="S113" s="29">
        <v>4.7259837962962958E-3</v>
      </c>
    </row>
    <row r="114" spans="1:19" x14ac:dyDescent="0.3">
      <c r="A114">
        <v>109</v>
      </c>
      <c r="B114" s="23" t="s">
        <v>917</v>
      </c>
      <c r="C114" s="29">
        <v>4.7163310185185181E-3</v>
      </c>
      <c r="D114" s="29">
        <v>4.7399884259259253E-3</v>
      </c>
      <c r="E114" t="b">
        <f t="shared" si="2"/>
        <v>1</v>
      </c>
      <c r="G114" t="b">
        <f t="shared" si="3"/>
        <v>0</v>
      </c>
      <c r="P114">
        <v>109</v>
      </c>
      <c r="Q114" s="23" t="s">
        <v>917</v>
      </c>
      <c r="R114" s="29">
        <v>4.7279050925925926E-3</v>
      </c>
      <c r="S114" s="29">
        <v>4.7515624999999997E-3</v>
      </c>
    </row>
    <row r="115" spans="1:19" ht="28.8" x14ac:dyDescent="0.3">
      <c r="A115">
        <v>110</v>
      </c>
      <c r="B115" s="23" t="s">
        <v>918</v>
      </c>
      <c r="C115" s="29">
        <v>4.7964583333333331E-3</v>
      </c>
      <c r="D115" s="29">
        <v>4.8278472222222221E-3</v>
      </c>
      <c r="E115" t="b">
        <f t="shared" si="2"/>
        <v>1</v>
      </c>
      <c r="G115" t="b">
        <f t="shared" si="3"/>
        <v>0</v>
      </c>
      <c r="P115">
        <v>110</v>
      </c>
      <c r="Q115" s="23" t="s">
        <v>918</v>
      </c>
      <c r="R115" s="29">
        <v>4.8080324074074076E-3</v>
      </c>
      <c r="S115" s="29">
        <v>4.8379745370370365E-3</v>
      </c>
    </row>
    <row r="116" spans="1:19" x14ac:dyDescent="0.3">
      <c r="A116">
        <v>111</v>
      </c>
      <c r="B116" s="23" t="s">
        <v>919</v>
      </c>
      <c r="C116" s="29">
        <v>4.8283217592592596E-3</v>
      </c>
      <c r="D116" s="29">
        <v>4.8510185185185184E-3</v>
      </c>
      <c r="E116" t="b">
        <f t="shared" si="2"/>
        <v>1</v>
      </c>
      <c r="G116" t="b">
        <f t="shared" si="3"/>
        <v>0</v>
      </c>
      <c r="P116">
        <v>111</v>
      </c>
      <c r="Q116" s="23" t="s">
        <v>919</v>
      </c>
      <c r="R116" s="29">
        <v>4.8399074074074074E-3</v>
      </c>
      <c r="S116" s="29">
        <v>4.8611458333333328E-3</v>
      </c>
    </row>
    <row r="117" spans="1:19" x14ac:dyDescent="0.3">
      <c r="A117">
        <v>112</v>
      </c>
      <c r="B117" s="23" t="s">
        <v>920</v>
      </c>
      <c r="C117" s="29">
        <v>4.8514930555555551E-3</v>
      </c>
      <c r="D117" s="29">
        <v>4.8765972222222223E-3</v>
      </c>
      <c r="E117" t="b">
        <f t="shared" si="2"/>
        <v>1</v>
      </c>
      <c r="G117" t="b">
        <f t="shared" si="3"/>
        <v>0</v>
      </c>
      <c r="P117">
        <v>112</v>
      </c>
      <c r="Q117" s="23" t="s">
        <v>920</v>
      </c>
      <c r="R117" s="29">
        <v>4.8630787037037037E-3</v>
      </c>
      <c r="S117" s="29">
        <v>4.88818287037037E-3</v>
      </c>
    </row>
    <row r="118" spans="1:19" x14ac:dyDescent="0.3">
      <c r="A118">
        <v>113</v>
      </c>
      <c r="B118" s="23" t="s">
        <v>921</v>
      </c>
      <c r="C118" s="29">
        <v>4.8992824074074078E-3</v>
      </c>
      <c r="D118" s="29">
        <v>4.9268055555555558E-3</v>
      </c>
      <c r="E118" t="b">
        <f t="shared" si="2"/>
        <v>1</v>
      </c>
      <c r="G118" t="b">
        <f t="shared" si="3"/>
        <v>0</v>
      </c>
      <c r="P118">
        <v>113</v>
      </c>
      <c r="Q118" s="23" t="s">
        <v>921</v>
      </c>
      <c r="R118" s="29">
        <v>4.9108680555555555E-3</v>
      </c>
      <c r="S118" s="29">
        <v>4.9369328703703702E-3</v>
      </c>
    </row>
    <row r="119" spans="1:19" x14ac:dyDescent="0.3">
      <c r="A119">
        <v>114</v>
      </c>
      <c r="B119" s="23" t="s">
        <v>922</v>
      </c>
      <c r="C119" s="29">
        <v>4.9272800925925925E-3</v>
      </c>
      <c r="D119" s="29">
        <v>4.9634953703703707E-3</v>
      </c>
      <c r="E119" t="b">
        <f t="shared" si="2"/>
        <v>1</v>
      </c>
      <c r="G119" t="b">
        <f t="shared" si="3"/>
        <v>0</v>
      </c>
      <c r="P119">
        <v>114</v>
      </c>
      <c r="Q119" s="23" t="s">
        <v>922</v>
      </c>
      <c r="R119" s="29">
        <v>4.9388657407407411E-3</v>
      </c>
      <c r="S119" s="29">
        <v>4.9750694444444443E-3</v>
      </c>
    </row>
    <row r="120" spans="1:19" x14ac:dyDescent="0.3">
      <c r="A120">
        <v>115</v>
      </c>
      <c r="B120" s="23" t="s">
        <v>923</v>
      </c>
      <c r="C120" s="29">
        <v>4.9770023148148143E-3</v>
      </c>
      <c r="D120" s="29">
        <v>4.9963194444444447E-3</v>
      </c>
      <c r="E120" t="b">
        <f t="shared" si="2"/>
        <v>1</v>
      </c>
      <c r="G120" t="b">
        <f t="shared" si="3"/>
        <v>0</v>
      </c>
      <c r="P120">
        <v>115</v>
      </c>
      <c r="Q120" s="23" t="s">
        <v>923</v>
      </c>
      <c r="R120" s="29">
        <v>4.9885879629629629E-3</v>
      </c>
      <c r="S120" s="29">
        <v>5.0078935185185183E-3</v>
      </c>
    </row>
    <row r="121" spans="1:19" x14ac:dyDescent="0.3">
      <c r="A121">
        <v>116</v>
      </c>
      <c r="B121" s="23" t="s">
        <v>924</v>
      </c>
      <c r="C121" s="29">
        <v>5.0035532407407407E-3</v>
      </c>
      <c r="D121" s="29">
        <v>5.0272106481481478E-3</v>
      </c>
      <c r="E121" t="b">
        <f t="shared" si="2"/>
        <v>1</v>
      </c>
      <c r="G121" t="b">
        <f t="shared" si="3"/>
        <v>0</v>
      </c>
      <c r="P121">
        <v>116</v>
      </c>
      <c r="Q121" s="23" t="s">
        <v>924</v>
      </c>
      <c r="R121" s="29">
        <v>5.0151388888888884E-3</v>
      </c>
      <c r="S121" s="29">
        <v>5.0373379629629631E-3</v>
      </c>
    </row>
    <row r="122" spans="1:19" ht="28.8" x14ac:dyDescent="0.3">
      <c r="A122">
        <v>117</v>
      </c>
      <c r="B122" s="23" t="s">
        <v>925</v>
      </c>
      <c r="C122" s="29">
        <v>5.0276967592592595E-3</v>
      </c>
      <c r="D122" s="29">
        <v>5.0672800925925928E-3</v>
      </c>
      <c r="E122" t="b">
        <f t="shared" si="2"/>
        <v>1</v>
      </c>
      <c r="G122" t="b">
        <f t="shared" si="3"/>
        <v>0</v>
      </c>
      <c r="P122">
        <v>117</v>
      </c>
      <c r="Q122" s="23" t="s">
        <v>925</v>
      </c>
      <c r="R122" s="29">
        <v>5.039270833333334E-3</v>
      </c>
      <c r="S122" s="29">
        <v>5.0774074074074072E-3</v>
      </c>
    </row>
    <row r="123" spans="1:19" ht="28.8" x14ac:dyDescent="0.3">
      <c r="A123">
        <v>118</v>
      </c>
      <c r="B123" s="23" t="s">
        <v>926</v>
      </c>
      <c r="C123" s="29">
        <v>5.0677662037037037E-3</v>
      </c>
      <c r="D123" s="29">
        <v>5.1136226851851855E-3</v>
      </c>
      <c r="E123" t="b">
        <f t="shared" si="2"/>
        <v>1</v>
      </c>
      <c r="G123" t="b">
        <f t="shared" si="3"/>
        <v>0</v>
      </c>
      <c r="P123">
        <v>118</v>
      </c>
      <c r="Q123" s="23" t="s">
        <v>926</v>
      </c>
      <c r="R123" s="29">
        <v>5.0793402777777781E-3</v>
      </c>
      <c r="S123" s="29">
        <v>5.125196759259259E-3</v>
      </c>
    </row>
    <row r="124" spans="1:19" ht="28.8" x14ac:dyDescent="0.3">
      <c r="A124">
        <v>119</v>
      </c>
      <c r="B124" s="23" t="s">
        <v>927</v>
      </c>
      <c r="C124" s="29">
        <v>5.1208564814814814E-3</v>
      </c>
      <c r="D124" s="29">
        <v>5.1623726851851848E-3</v>
      </c>
      <c r="E124" t="b">
        <f t="shared" si="2"/>
        <v>1</v>
      </c>
      <c r="G124" t="b">
        <f t="shared" si="3"/>
        <v>0</v>
      </c>
      <c r="P124">
        <v>119</v>
      </c>
      <c r="Q124" s="23" t="s">
        <v>927</v>
      </c>
      <c r="R124" s="29">
        <v>5.1324421296296292E-3</v>
      </c>
      <c r="S124" s="29">
        <v>5.1739583333333334E-3</v>
      </c>
    </row>
    <row r="125" spans="1:19" x14ac:dyDescent="0.3">
      <c r="A125">
        <v>120</v>
      </c>
      <c r="B125" s="23" t="s">
        <v>928</v>
      </c>
      <c r="C125" s="29">
        <v>5.1778240740740734E-3</v>
      </c>
      <c r="D125" s="29">
        <v>5.1966550925925921E-3</v>
      </c>
      <c r="E125" t="b">
        <f t="shared" si="2"/>
        <v>1</v>
      </c>
      <c r="G125" t="b">
        <f t="shared" si="3"/>
        <v>0</v>
      </c>
      <c r="P125">
        <v>120</v>
      </c>
      <c r="Q125" s="23" t="s">
        <v>928</v>
      </c>
      <c r="R125" s="29">
        <v>5.189409722222222E-3</v>
      </c>
      <c r="S125" s="29">
        <v>5.2067824074074074E-3</v>
      </c>
    </row>
    <row r="126" spans="1:19" ht="28.8" x14ac:dyDescent="0.3">
      <c r="A126">
        <v>121</v>
      </c>
      <c r="B126" s="23" t="s">
        <v>929</v>
      </c>
      <c r="C126" s="29">
        <v>5.1971296296296297E-3</v>
      </c>
      <c r="D126" s="29">
        <v>5.2188541666666668E-3</v>
      </c>
      <c r="E126" t="b">
        <f t="shared" si="2"/>
        <v>1</v>
      </c>
      <c r="G126" t="b">
        <f t="shared" si="3"/>
        <v>0</v>
      </c>
      <c r="P126">
        <v>121</v>
      </c>
      <c r="Q126" s="23" t="s">
        <v>929</v>
      </c>
      <c r="R126" s="29">
        <v>5.2087152777777783E-3</v>
      </c>
      <c r="S126" s="29">
        <v>5.2289930555555562E-3</v>
      </c>
    </row>
    <row r="127" spans="1:19" ht="28.8" x14ac:dyDescent="0.3">
      <c r="A127">
        <v>122</v>
      </c>
      <c r="B127" s="23" t="s">
        <v>930</v>
      </c>
      <c r="C127" s="29">
        <v>5.2193402777777776E-3</v>
      </c>
      <c r="D127" s="29">
        <v>5.2429976851851856E-3</v>
      </c>
      <c r="E127" t="b">
        <f t="shared" si="2"/>
        <v>1</v>
      </c>
      <c r="G127" t="b">
        <f t="shared" si="3"/>
        <v>0</v>
      </c>
      <c r="P127">
        <v>122</v>
      </c>
      <c r="Q127" s="23" t="s">
        <v>930</v>
      </c>
      <c r="R127" s="29">
        <v>5.2309259259259262E-3</v>
      </c>
      <c r="S127" s="29">
        <v>5.253125E-3</v>
      </c>
    </row>
    <row r="128" spans="1:19" ht="28.8" x14ac:dyDescent="0.3">
      <c r="A128">
        <v>123</v>
      </c>
      <c r="B128" s="23" t="s">
        <v>931</v>
      </c>
      <c r="C128" s="29">
        <v>5.2434722222222223E-3</v>
      </c>
      <c r="D128" s="29">
        <v>5.2849884259259256E-3</v>
      </c>
      <c r="E128" t="b">
        <f t="shared" si="2"/>
        <v>1</v>
      </c>
      <c r="G128" t="b">
        <f t="shared" si="3"/>
        <v>0</v>
      </c>
      <c r="P128">
        <v>123</v>
      </c>
      <c r="Q128" s="23" t="s">
        <v>931</v>
      </c>
      <c r="R128" s="29">
        <v>5.25505787037037E-3</v>
      </c>
      <c r="S128" s="29">
        <v>5.2965740740740742E-3</v>
      </c>
    </row>
    <row r="129" spans="1:19" x14ac:dyDescent="0.3">
      <c r="A129">
        <v>124</v>
      </c>
      <c r="B129" s="23" t="s">
        <v>932</v>
      </c>
      <c r="C129" s="29">
        <v>5.2898148148148149E-3</v>
      </c>
      <c r="D129" s="29">
        <v>5.3067129629629627E-3</v>
      </c>
      <c r="E129" t="b">
        <f t="shared" si="2"/>
        <v>1</v>
      </c>
      <c r="G129" t="b">
        <f t="shared" si="3"/>
        <v>0</v>
      </c>
      <c r="P129">
        <v>124</v>
      </c>
      <c r="Q129" s="23" t="s">
        <v>932</v>
      </c>
      <c r="R129" s="29">
        <v>5.3014004629629626E-3</v>
      </c>
      <c r="S129" s="29">
        <v>5.3168518518518513E-3</v>
      </c>
    </row>
    <row r="130" spans="1:19" ht="28.8" x14ac:dyDescent="0.3">
      <c r="A130">
        <v>125</v>
      </c>
      <c r="B130" s="23" t="s">
        <v>933</v>
      </c>
      <c r="C130" s="29">
        <v>5.3071990740740744E-3</v>
      </c>
      <c r="D130" s="29">
        <v>5.3612615740740747E-3</v>
      </c>
      <c r="E130" t="b">
        <f t="shared" si="2"/>
        <v>1</v>
      </c>
      <c r="G130" t="b">
        <f t="shared" si="3"/>
        <v>0</v>
      </c>
      <c r="P130">
        <v>125</v>
      </c>
      <c r="Q130" s="23" t="s">
        <v>933</v>
      </c>
      <c r="R130" s="29">
        <v>5.3187731481481489E-3</v>
      </c>
      <c r="S130" s="29">
        <v>5.3728472222222224E-3</v>
      </c>
    </row>
    <row r="131" spans="1:19" x14ac:dyDescent="0.3">
      <c r="A131">
        <v>126</v>
      </c>
      <c r="B131" s="23" t="s">
        <v>934</v>
      </c>
      <c r="C131" s="29">
        <v>5.423055555555556E-3</v>
      </c>
      <c r="D131" s="29">
        <v>5.4360879629629629E-3</v>
      </c>
      <c r="E131" t="b">
        <f t="shared" si="2"/>
        <v>1</v>
      </c>
      <c r="G131" t="b">
        <f t="shared" si="3"/>
        <v>0</v>
      </c>
      <c r="P131">
        <v>126</v>
      </c>
      <c r="Q131" s="23" t="s">
        <v>934</v>
      </c>
      <c r="R131" s="29">
        <v>5.4346296296296295E-3</v>
      </c>
      <c r="S131" s="29">
        <v>5.4462152777777781E-3</v>
      </c>
    </row>
    <row r="132" spans="1:19" ht="28.8" x14ac:dyDescent="0.3">
      <c r="A132">
        <v>127</v>
      </c>
      <c r="B132" s="23" t="s">
        <v>935</v>
      </c>
      <c r="C132" s="29">
        <v>5.4365740740740746E-3</v>
      </c>
      <c r="D132" s="29">
        <v>5.4824305555555555E-3</v>
      </c>
      <c r="E132" t="b">
        <f t="shared" si="2"/>
        <v>1</v>
      </c>
      <c r="G132" t="b">
        <f t="shared" si="3"/>
        <v>0</v>
      </c>
      <c r="P132">
        <v>127</v>
      </c>
      <c r="Q132" s="23" t="s">
        <v>935</v>
      </c>
      <c r="R132" s="29">
        <v>5.4481481481481481E-3</v>
      </c>
      <c r="S132" s="29">
        <v>5.4925578703703707E-3</v>
      </c>
    </row>
    <row r="133" spans="1:19" ht="28.8" x14ac:dyDescent="0.3">
      <c r="A133">
        <v>128</v>
      </c>
      <c r="B133" s="23" t="s">
        <v>936</v>
      </c>
      <c r="C133" s="29">
        <v>5.4829166666666663E-3</v>
      </c>
      <c r="D133" s="29">
        <v>5.5128472222222219E-3</v>
      </c>
      <c r="E133" t="b">
        <f t="shared" si="2"/>
        <v>1</v>
      </c>
      <c r="G133" t="b">
        <f t="shared" si="3"/>
        <v>0</v>
      </c>
      <c r="P133">
        <v>128</v>
      </c>
      <c r="Q133" s="23" t="s">
        <v>936</v>
      </c>
      <c r="R133" s="29">
        <v>5.4944907407407408E-3</v>
      </c>
      <c r="S133" s="29">
        <v>5.5224884259259263E-3</v>
      </c>
    </row>
    <row r="134" spans="1:19" x14ac:dyDescent="0.3">
      <c r="A134">
        <v>129</v>
      </c>
      <c r="B134" s="23" t="s">
        <v>937</v>
      </c>
      <c r="C134" s="29">
        <v>5.5133217592592595E-3</v>
      </c>
      <c r="D134" s="29">
        <v>5.5292592592592589E-3</v>
      </c>
      <c r="E134" t="b">
        <f t="shared" ref="E134:E197" si="4">B134=Q134</f>
        <v>1</v>
      </c>
      <c r="G134" t="b">
        <f t="shared" ref="G134:G197" si="5">C134=R134</f>
        <v>0</v>
      </c>
      <c r="P134">
        <v>129</v>
      </c>
      <c r="Q134" s="23" t="s">
        <v>937</v>
      </c>
      <c r="R134" s="29">
        <v>5.5249074074074072E-3</v>
      </c>
      <c r="S134" s="29">
        <v>5.5408333333333334E-3</v>
      </c>
    </row>
    <row r="135" spans="1:19" x14ac:dyDescent="0.3">
      <c r="A135">
        <v>130</v>
      </c>
      <c r="B135" s="23" t="s">
        <v>938</v>
      </c>
      <c r="C135" s="29">
        <v>5.5644907407407405E-3</v>
      </c>
      <c r="D135" s="29">
        <v>5.5780092592592591E-3</v>
      </c>
      <c r="E135" t="b">
        <f t="shared" si="4"/>
        <v>1</v>
      </c>
      <c r="G135" t="b">
        <f t="shared" si="5"/>
        <v>0</v>
      </c>
      <c r="P135">
        <v>130</v>
      </c>
      <c r="Q135" s="23" t="s">
        <v>938</v>
      </c>
      <c r="R135" s="29">
        <v>5.5760763888888891E-3</v>
      </c>
      <c r="S135" s="29">
        <v>5.5895949074074068E-3</v>
      </c>
    </row>
    <row r="136" spans="1:19" ht="28.8" x14ac:dyDescent="0.3">
      <c r="A136">
        <v>131</v>
      </c>
      <c r="B136" s="23" t="s">
        <v>939</v>
      </c>
      <c r="C136" s="29">
        <v>5.6108333333333331E-3</v>
      </c>
      <c r="D136" s="29">
        <v>5.6407638888888887E-3</v>
      </c>
      <c r="E136" t="b">
        <f t="shared" si="4"/>
        <v>1</v>
      </c>
      <c r="G136" t="b">
        <f t="shared" si="5"/>
        <v>0</v>
      </c>
      <c r="P136">
        <v>131</v>
      </c>
      <c r="Q136" s="23" t="s">
        <v>939</v>
      </c>
      <c r="R136" s="29">
        <v>5.6224189814814817E-3</v>
      </c>
      <c r="S136" s="29">
        <v>5.6509027777777781E-3</v>
      </c>
    </row>
    <row r="137" spans="1:19" x14ac:dyDescent="0.3">
      <c r="A137">
        <v>132</v>
      </c>
      <c r="B137" s="23" t="s">
        <v>940</v>
      </c>
      <c r="C137" s="29">
        <v>5.6412499999999996E-3</v>
      </c>
      <c r="D137" s="29">
        <v>5.6702199074074068E-3</v>
      </c>
      <c r="E137" t="b">
        <f t="shared" si="4"/>
        <v>1</v>
      </c>
      <c r="G137" t="b">
        <f t="shared" si="5"/>
        <v>0</v>
      </c>
      <c r="P137">
        <v>132</v>
      </c>
      <c r="Q137" s="23" t="s">
        <v>940</v>
      </c>
      <c r="R137" s="29">
        <v>5.6528356481481482E-3</v>
      </c>
      <c r="S137" s="29">
        <v>5.680347222222222E-3</v>
      </c>
    </row>
    <row r="138" spans="1:19" x14ac:dyDescent="0.3">
      <c r="A138">
        <v>133</v>
      </c>
      <c r="B138" s="23" t="s">
        <v>941</v>
      </c>
      <c r="C138" s="29">
        <v>5.6706944444444444E-3</v>
      </c>
      <c r="D138" s="29">
        <v>5.7068981481481484E-3</v>
      </c>
      <c r="E138" t="b">
        <f t="shared" si="4"/>
        <v>1</v>
      </c>
      <c r="G138" t="b">
        <f t="shared" si="5"/>
        <v>0</v>
      </c>
      <c r="P138">
        <v>133</v>
      </c>
      <c r="Q138" s="23" t="s">
        <v>941</v>
      </c>
      <c r="R138" s="29">
        <v>5.6822800925925929E-3</v>
      </c>
      <c r="S138" s="29">
        <v>5.717037037037037E-3</v>
      </c>
    </row>
    <row r="139" spans="1:19" x14ac:dyDescent="0.3">
      <c r="A139">
        <v>134</v>
      </c>
      <c r="B139" s="23" t="s">
        <v>942</v>
      </c>
      <c r="C139" s="29">
        <v>5.7073842592592593E-3</v>
      </c>
      <c r="D139" s="29">
        <v>5.7305555555555556E-3</v>
      </c>
      <c r="E139" t="b">
        <f t="shared" si="4"/>
        <v>1</v>
      </c>
      <c r="G139" t="b">
        <f t="shared" si="5"/>
        <v>0</v>
      </c>
      <c r="P139">
        <v>134</v>
      </c>
      <c r="Q139" s="23" t="s">
        <v>942</v>
      </c>
      <c r="R139" s="29">
        <v>5.7189699074074079E-3</v>
      </c>
      <c r="S139" s="29">
        <v>5.7421412037037033E-3</v>
      </c>
    </row>
    <row r="140" spans="1:19" x14ac:dyDescent="0.3">
      <c r="A140">
        <v>135</v>
      </c>
      <c r="B140" s="23" t="s">
        <v>943</v>
      </c>
      <c r="C140" s="29">
        <v>5.7464814814814809E-3</v>
      </c>
      <c r="D140" s="29">
        <v>5.7749652777777773E-3</v>
      </c>
      <c r="E140" t="b">
        <f t="shared" si="4"/>
        <v>1</v>
      </c>
      <c r="G140" t="b">
        <f t="shared" si="5"/>
        <v>0</v>
      </c>
      <c r="P140">
        <v>135</v>
      </c>
      <c r="Q140" s="23" t="s">
        <v>943</v>
      </c>
      <c r="R140" s="29">
        <v>5.7580671296296295E-3</v>
      </c>
      <c r="S140" s="29">
        <v>5.7851041666666667E-3</v>
      </c>
    </row>
    <row r="141" spans="1:19" ht="28.8" x14ac:dyDescent="0.3">
      <c r="A141">
        <v>136</v>
      </c>
      <c r="B141" s="23" t="s">
        <v>944</v>
      </c>
      <c r="C141" s="29">
        <v>5.775451388888889E-3</v>
      </c>
      <c r="D141" s="29">
        <v>5.8068287037037038E-3</v>
      </c>
      <c r="E141" t="b">
        <f t="shared" si="4"/>
        <v>1</v>
      </c>
      <c r="G141" t="b">
        <f t="shared" si="5"/>
        <v>0</v>
      </c>
      <c r="P141">
        <v>136</v>
      </c>
      <c r="Q141" s="23" t="s">
        <v>944</v>
      </c>
      <c r="R141" s="30">
        <v>5.7870370370370367E-3</v>
      </c>
      <c r="S141" s="29">
        <v>5.8169560185185182E-3</v>
      </c>
    </row>
    <row r="142" spans="1:19" x14ac:dyDescent="0.3">
      <c r="A142">
        <v>137</v>
      </c>
      <c r="B142" s="23" t="s">
        <v>945</v>
      </c>
      <c r="C142" s="29">
        <v>5.8073148148148146E-3</v>
      </c>
      <c r="D142" s="29">
        <v>5.8468981481481488E-3</v>
      </c>
      <c r="E142" t="b">
        <f t="shared" si="4"/>
        <v>1</v>
      </c>
      <c r="G142" t="b">
        <f t="shared" si="5"/>
        <v>0</v>
      </c>
      <c r="P142">
        <v>137</v>
      </c>
      <c r="Q142" s="23" t="s">
        <v>945</v>
      </c>
      <c r="R142" s="29">
        <v>5.8188888888888891E-3</v>
      </c>
      <c r="S142" s="29">
        <v>5.8584722222222224E-3</v>
      </c>
    </row>
    <row r="143" spans="1:19" ht="28.8" x14ac:dyDescent="0.3">
      <c r="A143">
        <v>138</v>
      </c>
      <c r="B143" s="23" t="s">
        <v>946</v>
      </c>
      <c r="C143" s="29">
        <v>5.8536574074074072E-3</v>
      </c>
      <c r="D143" s="29">
        <v>5.8826157407407403E-3</v>
      </c>
      <c r="E143" t="b">
        <f t="shared" si="4"/>
        <v>1</v>
      </c>
      <c r="G143" t="b">
        <f t="shared" si="5"/>
        <v>0</v>
      </c>
      <c r="P143">
        <v>138</v>
      </c>
      <c r="Q143" s="23" t="s">
        <v>946</v>
      </c>
      <c r="R143" s="29">
        <v>5.8652314814814808E-3</v>
      </c>
      <c r="S143" s="29">
        <v>5.8927546296296297E-3</v>
      </c>
    </row>
    <row r="144" spans="1:19" x14ac:dyDescent="0.3">
      <c r="A144">
        <v>139</v>
      </c>
      <c r="B144" s="23" t="s">
        <v>947</v>
      </c>
      <c r="C144" s="29">
        <v>5.883101851851852E-3</v>
      </c>
      <c r="D144" s="29">
        <v>5.9077199074074075E-3</v>
      </c>
      <c r="E144" t="b">
        <f t="shared" si="4"/>
        <v>1</v>
      </c>
      <c r="G144" t="b">
        <f t="shared" si="5"/>
        <v>0</v>
      </c>
      <c r="P144">
        <v>139</v>
      </c>
      <c r="Q144" s="23" t="s">
        <v>947</v>
      </c>
      <c r="R144" s="29">
        <v>5.8946759259259265E-3</v>
      </c>
      <c r="S144" s="29">
        <v>5.9193055555555553E-3</v>
      </c>
    </row>
    <row r="145" spans="1:19" ht="28.8" x14ac:dyDescent="0.3">
      <c r="A145">
        <v>140</v>
      </c>
      <c r="B145" s="23" t="s">
        <v>948</v>
      </c>
      <c r="C145" s="29">
        <v>5.9366898148148139E-3</v>
      </c>
      <c r="D145" s="29">
        <v>5.9598611111111111E-3</v>
      </c>
      <c r="E145" t="b">
        <f t="shared" si="4"/>
        <v>1</v>
      </c>
      <c r="G145" t="b">
        <f t="shared" si="5"/>
        <v>0</v>
      </c>
      <c r="P145">
        <v>140</v>
      </c>
      <c r="Q145" s="23" t="s">
        <v>948</v>
      </c>
      <c r="R145" s="29">
        <v>5.9482638888888884E-3</v>
      </c>
      <c r="S145" s="29">
        <v>5.9699884259259263E-3</v>
      </c>
    </row>
    <row r="146" spans="1:19" ht="28.8" x14ac:dyDescent="0.3">
      <c r="A146">
        <v>141</v>
      </c>
      <c r="B146" s="23" t="s">
        <v>949</v>
      </c>
      <c r="C146" s="29">
        <v>5.9603356481481478E-3</v>
      </c>
      <c r="D146" s="29">
        <v>5.9825462962962966E-3</v>
      </c>
      <c r="E146" t="b">
        <f t="shared" si="4"/>
        <v>1</v>
      </c>
      <c r="G146" t="b">
        <f t="shared" si="5"/>
        <v>0</v>
      </c>
      <c r="P146">
        <v>141</v>
      </c>
      <c r="Q146" s="23" t="s">
        <v>949</v>
      </c>
      <c r="R146" s="29">
        <v>5.9719212962962972E-3</v>
      </c>
      <c r="S146" s="29">
        <v>5.9926736111111118E-3</v>
      </c>
    </row>
    <row r="147" spans="1:19" ht="28.8" x14ac:dyDescent="0.3">
      <c r="A147">
        <v>142</v>
      </c>
      <c r="B147" s="23" t="s">
        <v>950</v>
      </c>
      <c r="C147" s="29">
        <v>5.9830324074074074E-3</v>
      </c>
      <c r="D147" s="29">
        <v>6.0192361111111115E-3</v>
      </c>
      <c r="E147" t="b">
        <f t="shared" si="4"/>
        <v>1</v>
      </c>
      <c r="G147" t="b">
        <f t="shared" si="5"/>
        <v>0</v>
      </c>
      <c r="P147">
        <v>142</v>
      </c>
      <c r="Q147" s="23" t="s">
        <v>950</v>
      </c>
      <c r="R147" s="29">
        <v>5.994606481481481E-3</v>
      </c>
      <c r="S147" s="29">
        <v>6.0293634259259259E-3</v>
      </c>
    </row>
    <row r="148" spans="1:19" x14ac:dyDescent="0.3">
      <c r="A148">
        <v>143</v>
      </c>
      <c r="B148" s="23" t="s">
        <v>951</v>
      </c>
      <c r="C148" s="29">
        <v>6.0197106481481473E-3</v>
      </c>
      <c r="D148" s="29">
        <v>6.0428819444444445E-3</v>
      </c>
      <c r="E148" t="b">
        <f t="shared" si="4"/>
        <v>1</v>
      </c>
      <c r="G148" t="b">
        <f t="shared" si="5"/>
        <v>0</v>
      </c>
      <c r="P148">
        <v>143</v>
      </c>
      <c r="Q148" s="23" t="s">
        <v>951</v>
      </c>
      <c r="R148" s="29">
        <v>6.0312962962962968E-3</v>
      </c>
      <c r="S148" s="29">
        <v>6.0544675925925922E-3</v>
      </c>
    </row>
    <row r="149" spans="1:19" x14ac:dyDescent="0.3">
      <c r="A149">
        <v>144</v>
      </c>
      <c r="B149" s="23" t="s">
        <v>952</v>
      </c>
      <c r="C149" s="29">
        <v>6.0892245370370371E-3</v>
      </c>
      <c r="D149" s="29">
        <v>6.1104745370370375E-3</v>
      </c>
      <c r="E149" t="b">
        <f t="shared" si="4"/>
        <v>1</v>
      </c>
      <c r="G149" t="b">
        <f t="shared" si="5"/>
        <v>0</v>
      </c>
      <c r="P149">
        <v>144</v>
      </c>
      <c r="Q149" s="23" t="s">
        <v>952</v>
      </c>
      <c r="R149" s="29">
        <v>6.1008101851851857E-3</v>
      </c>
      <c r="S149" s="29">
        <v>6.1206018518518528E-3</v>
      </c>
    </row>
    <row r="150" spans="1:19" x14ac:dyDescent="0.3">
      <c r="A150">
        <v>145</v>
      </c>
      <c r="B150" s="23" t="s">
        <v>953</v>
      </c>
      <c r="C150" s="29">
        <v>6.1109490740740742E-3</v>
      </c>
      <c r="D150" s="29">
        <v>6.1254398148148153E-3</v>
      </c>
      <c r="E150" t="b">
        <f t="shared" si="4"/>
        <v>1</v>
      </c>
      <c r="G150" t="b">
        <f t="shared" si="5"/>
        <v>0</v>
      </c>
      <c r="P150">
        <v>145</v>
      </c>
      <c r="Q150" s="23" t="s">
        <v>953</v>
      </c>
      <c r="R150" s="29">
        <v>6.1225347222222219E-3</v>
      </c>
      <c r="S150" s="29">
        <v>6.1355671296296306E-3</v>
      </c>
    </row>
    <row r="151" spans="1:19" x14ac:dyDescent="0.3">
      <c r="A151">
        <v>146</v>
      </c>
      <c r="B151" s="23" t="s">
        <v>954</v>
      </c>
      <c r="C151" s="29">
        <v>6.125914351851852E-3</v>
      </c>
      <c r="D151" s="29">
        <v>6.1374999999999997E-3</v>
      </c>
      <c r="E151" t="b">
        <f t="shared" si="4"/>
        <v>1</v>
      </c>
      <c r="G151" t="b">
        <f t="shared" si="5"/>
        <v>0</v>
      </c>
      <c r="P151">
        <v>146</v>
      </c>
      <c r="Q151" s="23" t="s">
        <v>954</v>
      </c>
      <c r="R151" s="29">
        <v>6.1374999999999997E-3</v>
      </c>
      <c r="S151" s="29">
        <v>6.1490856481481474E-3</v>
      </c>
    </row>
    <row r="152" spans="1:19" x14ac:dyDescent="0.3">
      <c r="A152">
        <v>147</v>
      </c>
      <c r="B152" s="23" t="s">
        <v>955</v>
      </c>
      <c r="C152" s="29">
        <v>6.1654976851851844E-3</v>
      </c>
      <c r="D152" s="29">
        <v>6.1795023148148148E-3</v>
      </c>
      <c r="E152" t="b">
        <f t="shared" si="4"/>
        <v>1</v>
      </c>
      <c r="G152" t="b">
        <f t="shared" si="5"/>
        <v>0</v>
      </c>
      <c r="P152">
        <v>147</v>
      </c>
      <c r="Q152" s="23" t="s">
        <v>955</v>
      </c>
      <c r="R152" s="29">
        <v>6.1770833333333339E-3</v>
      </c>
      <c r="S152" s="29">
        <v>6.1896296296296291E-3</v>
      </c>
    </row>
    <row r="153" spans="1:19" x14ac:dyDescent="0.3">
      <c r="A153">
        <v>148</v>
      </c>
      <c r="B153" s="23" t="s">
        <v>956</v>
      </c>
      <c r="C153" s="29">
        <v>6.1799884259259264E-3</v>
      </c>
      <c r="D153" s="29">
        <v>6.1978472222222226E-3</v>
      </c>
      <c r="E153" t="b">
        <f t="shared" si="4"/>
        <v>1</v>
      </c>
      <c r="G153" t="b">
        <f t="shared" si="5"/>
        <v>0</v>
      </c>
      <c r="P153">
        <v>148</v>
      </c>
      <c r="Q153" s="23" t="s">
        <v>956</v>
      </c>
      <c r="R153" s="29">
        <v>6.1915625E-3</v>
      </c>
      <c r="S153" s="29">
        <v>6.2094212962962962E-3</v>
      </c>
    </row>
    <row r="154" spans="1:19" ht="28.8" x14ac:dyDescent="0.3">
      <c r="A154">
        <v>149</v>
      </c>
      <c r="B154" s="23" t="s">
        <v>957</v>
      </c>
      <c r="C154" s="29">
        <v>6.2108796296296296E-3</v>
      </c>
      <c r="D154" s="29">
        <v>6.2548032407407405E-3</v>
      </c>
      <c r="E154" t="b">
        <f t="shared" si="4"/>
        <v>1</v>
      </c>
      <c r="G154" t="b">
        <f t="shared" si="5"/>
        <v>0</v>
      </c>
      <c r="P154">
        <v>149</v>
      </c>
      <c r="Q154" s="23" t="s">
        <v>957</v>
      </c>
      <c r="R154" s="29">
        <v>6.222453703703704E-3</v>
      </c>
      <c r="S154" s="29">
        <v>6.2649421296296299E-3</v>
      </c>
    </row>
    <row r="155" spans="1:19" x14ac:dyDescent="0.3">
      <c r="A155">
        <v>150</v>
      </c>
      <c r="B155" s="23" t="s">
        <v>958</v>
      </c>
      <c r="C155" s="29">
        <v>6.2552893518518522E-3</v>
      </c>
      <c r="D155" s="29">
        <v>6.2876388888888886E-3</v>
      </c>
      <c r="E155" t="b">
        <f t="shared" si="4"/>
        <v>1</v>
      </c>
      <c r="G155" t="b">
        <f t="shared" si="5"/>
        <v>0</v>
      </c>
      <c r="P155">
        <v>150</v>
      </c>
      <c r="Q155" s="23" t="s">
        <v>958</v>
      </c>
      <c r="R155" s="29">
        <v>6.2668749999999999E-3</v>
      </c>
      <c r="S155" s="29">
        <v>6.297766203703703E-3</v>
      </c>
    </row>
    <row r="156" spans="1:19" ht="28.8" x14ac:dyDescent="0.3">
      <c r="A156">
        <v>151</v>
      </c>
      <c r="B156" s="23" t="s">
        <v>959</v>
      </c>
      <c r="C156" s="29">
        <v>6.2881134259259262E-3</v>
      </c>
      <c r="D156" s="29">
        <v>6.3204629629629626E-3</v>
      </c>
      <c r="E156" t="b">
        <f t="shared" si="4"/>
        <v>1</v>
      </c>
      <c r="G156" t="b">
        <f t="shared" si="5"/>
        <v>0</v>
      </c>
      <c r="P156">
        <v>151</v>
      </c>
      <c r="Q156" s="23" t="s">
        <v>959</v>
      </c>
      <c r="R156" s="29">
        <v>6.2996990740740739E-3</v>
      </c>
      <c r="S156" s="29">
        <v>6.330590277777777E-3</v>
      </c>
    </row>
    <row r="157" spans="1:19" ht="28.8" x14ac:dyDescent="0.3">
      <c r="A157">
        <v>152</v>
      </c>
      <c r="B157" s="23" t="s">
        <v>960</v>
      </c>
      <c r="C157" s="29">
        <v>6.3209375000000002E-3</v>
      </c>
      <c r="D157" s="29">
        <v>6.3571527777777784E-3</v>
      </c>
      <c r="E157" t="b">
        <f t="shared" si="4"/>
        <v>1</v>
      </c>
      <c r="G157" t="b">
        <f t="shared" si="5"/>
        <v>0</v>
      </c>
      <c r="P157">
        <v>152</v>
      </c>
      <c r="Q157" s="23" t="s">
        <v>960</v>
      </c>
      <c r="R157" s="29">
        <v>6.3325231481481479E-3</v>
      </c>
      <c r="S157" s="29">
        <v>6.3672800925925928E-3</v>
      </c>
    </row>
    <row r="158" spans="1:19" x14ac:dyDescent="0.3">
      <c r="A158">
        <v>153</v>
      </c>
      <c r="B158" s="23" t="s">
        <v>961</v>
      </c>
      <c r="C158" s="29">
        <v>6.3576273148148142E-3</v>
      </c>
      <c r="D158" s="29">
        <v>6.370659722222222E-3</v>
      </c>
      <c r="E158" t="b">
        <f t="shared" si="4"/>
        <v>1</v>
      </c>
      <c r="G158" t="b">
        <f t="shared" si="5"/>
        <v>0</v>
      </c>
      <c r="P158">
        <v>153</v>
      </c>
      <c r="Q158" s="23" t="s">
        <v>961</v>
      </c>
      <c r="R158" s="29">
        <v>6.3692129629629628E-3</v>
      </c>
      <c r="S158" s="29">
        <v>6.3807986111111114E-3</v>
      </c>
    </row>
    <row r="159" spans="1:19" ht="28.8" x14ac:dyDescent="0.3">
      <c r="A159">
        <v>154</v>
      </c>
      <c r="B159" s="23" t="s">
        <v>962</v>
      </c>
      <c r="C159" s="29">
        <v>6.3711458333333328E-3</v>
      </c>
      <c r="D159" s="29">
        <v>6.4367939814814817E-3</v>
      </c>
      <c r="E159" t="b">
        <f t="shared" si="4"/>
        <v>1</v>
      </c>
      <c r="G159" t="b">
        <f t="shared" si="5"/>
        <v>0</v>
      </c>
      <c r="P159">
        <v>154</v>
      </c>
      <c r="Q159" s="23" t="s">
        <v>962</v>
      </c>
      <c r="R159" s="29">
        <v>6.3827314814814814E-3</v>
      </c>
      <c r="S159" s="29">
        <v>6.4483796296296294E-3</v>
      </c>
    </row>
    <row r="160" spans="1:19" ht="28.8" x14ac:dyDescent="0.3">
      <c r="A160">
        <v>155</v>
      </c>
      <c r="B160" s="23" t="s">
        <v>963</v>
      </c>
      <c r="C160" s="29">
        <v>6.4565856481481488E-3</v>
      </c>
      <c r="D160" s="29">
        <v>6.4928009259259253E-3</v>
      </c>
      <c r="E160" t="b">
        <f t="shared" si="4"/>
        <v>1</v>
      </c>
      <c r="G160" t="b">
        <f t="shared" si="5"/>
        <v>0</v>
      </c>
      <c r="P160">
        <v>155</v>
      </c>
      <c r="Q160" s="23" t="s">
        <v>963</v>
      </c>
      <c r="R160" s="29">
        <v>6.4681712962962965E-3</v>
      </c>
      <c r="S160" s="29">
        <v>6.5043749999999997E-3</v>
      </c>
    </row>
    <row r="161" spans="1:19" ht="28.8" x14ac:dyDescent="0.3">
      <c r="A161">
        <v>156</v>
      </c>
      <c r="B161" s="23" t="s">
        <v>964</v>
      </c>
      <c r="C161" s="29">
        <v>6.4985879629629621E-3</v>
      </c>
      <c r="D161" s="29">
        <v>6.5372106481481488E-3</v>
      </c>
      <c r="E161" t="b">
        <f t="shared" si="4"/>
        <v>1</v>
      </c>
      <c r="G161" t="b">
        <f t="shared" si="5"/>
        <v>0</v>
      </c>
      <c r="P161">
        <v>156</v>
      </c>
      <c r="Q161" s="23" t="s">
        <v>964</v>
      </c>
      <c r="R161" s="29">
        <v>6.5101736111111115E-3</v>
      </c>
      <c r="S161" s="29">
        <v>6.547337962962964E-3</v>
      </c>
    </row>
    <row r="162" spans="1:19" ht="28.8" x14ac:dyDescent="0.3">
      <c r="A162">
        <v>157</v>
      </c>
      <c r="B162" s="23" t="s">
        <v>965</v>
      </c>
      <c r="C162" s="29">
        <v>6.5376851851851854E-3</v>
      </c>
      <c r="D162" s="29">
        <v>6.5719675925925928E-3</v>
      </c>
      <c r="E162" t="b">
        <f t="shared" si="4"/>
        <v>1</v>
      </c>
      <c r="G162" t="b">
        <f t="shared" si="5"/>
        <v>0</v>
      </c>
      <c r="P162">
        <v>157</v>
      </c>
      <c r="Q162" s="23" t="s">
        <v>965</v>
      </c>
      <c r="R162" s="29">
        <v>6.5492708333333332E-3</v>
      </c>
      <c r="S162" s="29">
        <v>6.5835416666666664E-3</v>
      </c>
    </row>
    <row r="163" spans="1:19" x14ac:dyDescent="0.3">
      <c r="A163">
        <v>158</v>
      </c>
      <c r="B163" s="23" t="s">
        <v>966</v>
      </c>
      <c r="C163" s="29">
        <v>6.5989930555555559E-3</v>
      </c>
      <c r="D163" s="29">
        <v>6.622650462962963E-3</v>
      </c>
      <c r="E163" t="b">
        <f t="shared" si="4"/>
        <v>1</v>
      </c>
      <c r="G163" t="b">
        <f t="shared" si="5"/>
        <v>0</v>
      </c>
      <c r="P163">
        <v>158</v>
      </c>
      <c r="Q163" s="23" t="s">
        <v>966</v>
      </c>
      <c r="R163" s="29">
        <v>6.6105787037037036E-3</v>
      </c>
      <c r="S163" s="29">
        <v>6.6327893518518515E-3</v>
      </c>
    </row>
    <row r="164" spans="1:19" x14ac:dyDescent="0.3">
      <c r="A164">
        <v>159</v>
      </c>
      <c r="B164" s="23" t="s">
        <v>967</v>
      </c>
      <c r="C164" s="29">
        <v>6.6231365740740747E-3</v>
      </c>
      <c r="D164" s="29">
        <v>6.6448611111111109E-3</v>
      </c>
      <c r="E164" t="b">
        <f t="shared" si="4"/>
        <v>1</v>
      </c>
      <c r="G164" t="b">
        <f t="shared" si="5"/>
        <v>0</v>
      </c>
      <c r="P164">
        <v>159</v>
      </c>
      <c r="Q164" s="23" t="s">
        <v>967</v>
      </c>
      <c r="R164" s="29">
        <v>6.6347106481481483E-3</v>
      </c>
      <c r="S164" s="29">
        <v>6.6549884259259262E-3</v>
      </c>
    </row>
    <row r="165" spans="1:19" x14ac:dyDescent="0.3">
      <c r="A165">
        <v>160</v>
      </c>
      <c r="B165" s="23" t="s">
        <v>968</v>
      </c>
      <c r="C165" s="29">
        <v>6.6453356481481485E-3</v>
      </c>
      <c r="D165" s="29">
        <v>6.6622337962962954E-3</v>
      </c>
      <c r="E165" t="b">
        <f t="shared" si="4"/>
        <v>1</v>
      </c>
      <c r="G165" t="b">
        <f t="shared" si="5"/>
        <v>0</v>
      </c>
      <c r="P165">
        <v>160</v>
      </c>
      <c r="Q165" s="23" t="s">
        <v>968</v>
      </c>
      <c r="R165" s="29">
        <v>6.6569212962962962E-3</v>
      </c>
      <c r="S165" s="29">
        <v>6.6723726851851857E-3</v>
      </c>
    </row>
    <row r="166" spans="1:19" ht="28.8" x14ac:dyDescent="0.3">
      <c r="A166">
        <v>161</v>
      </c>
      <c r="B166" s="23" t="s">
        <v>969</v>
      </c>
      <c r="C166" s="29">
        <v>6.6627199074074071E-3</v>
      </c>
      <c r="D166" s="29">
        <v>6.6950578703703703E-3</v>
      </c>
      <c r="E166" t="b">
        <f t="shared" si="4"/>
        <v>1</v>
      </c>
      <c r="G166" t="b">
        <f t="shared" si="5"/>
        <v>0</v>
      </c>
      <c r="P166">
        <v>161</v>
      </c>
      <c r="Q166" s="23" t="s">
        <v>969</v>
      </c>
      <c r="R166" s="29">
        <v>6.6742939814814816E-3</v>
      </c>
      <c r="S166" s="29">
        <v>6.7051967592592588E-3</v>
      </c>
    </row>
    <row r="167" spans="1:19" ht="28.8" x14ac:dyDescent="0.3">
      <c r="A167">
        <v>162</v>
      </c>
      <c r="B167" s="23" t="s">
        <v>970</v>
      </c>
      <c r="C167" s="29">
        <v>6.6955439814814811E-3</v>
      </c>
      <c r="D167" s="29">
        <v>6.7331944444444453E-3</v>
      </c>
      <c r="E167" t="b">
        <f t="shared" si="4"/>
        <v>1</v>
      </c>
      <c r="G167" t="b">
        <f t="shared" si="5"/>
        <v>0</v>
      </c>
      <c r="P167">
        <v>162</v>
      </c>
      <c r="Q167" s="23" t="s">
        <v>970</v>
      </c>
      <c r="R167" s="29">
        <v>6.7071296296296297E-3</v>
      </c>
      <c r="S167" s="29">
        <v>6.744780092592593E-3</v>
      </c>
    </row>
    <row r="168" spans="1:19" ht="28.8" x14ac:dyDescent="0.3">
      <c r="A168">
        <v>163</v>
      </c>
      <c r="B168" s="23" t="s">
        <v>971</v>
      </c>
      <c r="C168" s="29">
        <v>6.7631250000000009E-3</v>
      </c>
      <c r="D168" s="29">
        <v>6.803194444444445E-3</v>
      </c>
      <c r="E168" t="b">
        <f t="shared" si="4"/>
        <v>1</v>
      </c>
      <c r="G168" t="b">
        <f t="shared" si="5"/>
        <v>0</v>
      </c>
      <c r="P168">
        <v>163</v>
      </c>
      <c r="Q168" s="23" t="s">
        <v>971</v>
      </c>
      <c r="R168" s="29">
        <v>6.7747106481481486E-3</v>
      </c>
      <c r="S168" s="29">
        <v>6.8133217592592594E-3</v>
      </c>
    </row>
    <row r="169" spans="1:19" ht="28.8" x14ac:dyDescent="0.3">
      <c r="A169">
        <v>164</v>
      </c>
      <c r="B169" s="23" t="s">
        <v>972</v>
      </c>
      <c r="C169" s="29">
        <v>6.803680555555555E-3</v>
      </c>
      <c r="D169" s="29">
        <v>6.8495370370370368E-3</v>
      </c>
      <c r="E169" t="b">
        <f t="shared" si="4"/>
        <v>1</v>
      </c>
      <c r="G169" t="b">
        <f t="shared" si="5"/>
        <v>0</v>
      </c>
      <c r="P169">
        <v>164</v>
      </c>
      <c r="Q169" s="23" t="s">
        <v>972</v>
      </c>
      <c r="R169" s="29">
        <v>6.8152546296296294E-3</v>
      </c>
      <c r="S169" s="29">
        <v>6.8596643518518512E-3</v>
      </c>
    </row>
    <row r="170" spans="1:19" ht="28.8" x14ac:dyDescent="0.3">
      <c r="A170">
        <v>165</v>
      </c>
      <c r="B170" s="23" t="s">
        <v>973</v>
      </c>
      <c r="C170" s="29">
        <v>6.8500231481481476E-3</v>
      </c>
      <c r="D170" s="29">
        <v>6.8944328703703702E-3</v>
      </c>
      <c r="E170" t="b">
        <f t="shared" si="4"/>
        <v>1</v>
      </c>
      <c r="G170" t="b">
        <f t="shared" si="5"/>
        <v>0</v>
      </c>
      <c r="P170">
        <v>165</v>
      </c>
      <c r="Q170" s="23" t="s">
        <v>973</v>
      </c>
      <c r="R170" s="29">
        <v>6.8615972222222221E-3</v>
      </c>
      <c r="S170" s="29">
        <v>6.9060069444444438E-3</v>
      </c>
    </row>
    <row r="171" spans="1:19" x14ac:dyDescent="0.3">
      <c r="A171">
        <v>166</v>
      </c>
      <c r="B171" s="23" t="s">
        <v>974</v>
      </c>
      <c r="C171" s="29">
        <v>6.9851851851851846E-3</v>
      </c>
      <c r="D171" s="29">
        <v>7.0107754629629626E-3</v>
      </c>
      <c r="E171" t="b">
        <f t="shared" si="4"/>
        <v>1</v>
      </c>
      <c r="G171" t="b">
        <f t="shared" si="5"/>
        <v>0</v>
      </c>
      <c r="P171">
        <v>166</v>
      </c>
      <c r="Q171" s="23" t="s">
        <v>974</v>
      </c>
      <c r="R171" s="29">
        <v>6.9967708333333331E-3</v>
      </c>
      <c r="S171" s="29">
        <v>7.022349537037037E-3</v>
      </c>
    </row>
    <row r="172" spans="1:19" ht="28.8" x14ac:dyDescent="0.3">
      <c r="A172">
        <v>167</v>
      </c>
      <c r="B172" s="23" t="s">
        <v>975</v>
      </c>
      <c r="C172" s="29">
        <v>7.015115740740741E-3</v>
      </c>
      <c r="D172" s="29">
        <v>7.0493865740740742E-3</v>
      </c>
      <c r="E172" t="b">
        <f t="shared" si="4"/>
        <v>1</v>
      </c>
      <c r="G172" t="b">
        <f t="shared" si="5"/>
        <v>0</v>
      </c>
      <c r="P172">
        <v>167</v>
      </c>
      <c r="Q172" s="23" t="s">
        <v>975</v>
      </c>
      <c r="R172" s="29">
        <v>7.0267013888888888E-3</v>
      </c>
      <c r="S172" s="29">
        <v>7.060972222222222E-3</v>
      </c>
    </row>
    <row r="173" spans="1:19" x14ac:dyDescent="0.3">
      <c r="A173">
        <v>168</v>
      </c>
      <c r="B173" s="23" t="s">
        <v>976</v>
      </c>
      <c r="C173" s="29">
        <v>7.0682175925925921E-3</v>
      </c>
      <c r="D173" s="29">
        <v>7.0947685185185193E-3</v>
      </c>
      <c r="E173" t="b">
        <f t="shared" si="4"/>
        <v>1</v>
      </c>
      <c r="G173" t="b">
        <f t="shared" si="5"/>
        <v>0</v>
      </c>
      <c r="P173">
        <v>168</v>
      </c>
      <c r="Q173" s="23" t="s">
        <v>976</v>
      </c>
      <c r="R173" s="29">
        <v>7.0797916666666665E-3</v>
      </c>
      <c r="S173" s="29">
        <v>7.1048958333333337E-3</v>
      </c>
    </row>
    <row r="174" spans="1:19" x14ac:dyDescent="0.3">
      <c r="A174">
        <v>169</v>
      </c>
      <c r="B174" s="23" t="s">
        <v>977</v>
      </c>
      <c r="C174" s="29">
        <v>7.0952546296296293E-3</v>
      </c>
      <c r="D174" s="29">
        <v>7.1222800925925924E-3</v>
      </c>
      <c r="E174" t="b">
        <f t="shared" si="4"/>
        <v>1</v>
      </c>
      <c r="G174" t="b">
        <f t="shared" si="5"/>
        <v>0</v>
      </c>
      <c r="P174">
        <v>169</v>
      </c>
      <c r="Q174" s="23" t="s">
        <v>977</v>
      </c>
      <c r="R174" s="29">
        <v>7.1068287037037037E-3</v>
      </c>
      <c r="S174" s="29">
        <v>7.133865740740741E-3</v>
      </c>
    </row>
    <row r="175" spans="1:19" x14ac:dyDescent="0.3">
      <c r="A175">
        <v>170</v>
      </c>
      <c r="B175" s="23" t="s">
        <v>978</v>
      </c>
      <c r="C175" s="29">
        <v>7.1541435185185189E-3</v>
      </c>
      <c r="D175" s="29">
        <v>7.1763541666666668E-3</v>
      </c>
      <c r="E175" t="b">
        <f t="shared" si="4"/>
        <v>1</v>
      </c>
      <c r="G175" t="b">
        <f t="shared" si="5"/>
        <v>0</v>
      </c>
      <c r="P175">
        <v>170</v>
      </c>
      <c r="Q175" s="23" t="s">
        <v>978</v>
      </c>
      <c r="R175" s="29">
        <v>7.1657291666666666E-3</v>
      </c>
      <c r="S175" s="29">
        <v>7.1879282407407413E-3</v>
      </c>
    </row>
    <row r="176" spans="1:19" ht="28.8" x14ac:dyDescent="0.3">
      <c r="A176">
        <v>171</v>
      </c>
      <c r="B176" s="23" t="s">
        <v>979</v>
      </c>
      <c r="C176" s="29">
        <v>7.1956597222222231E-3</v>
      </c>
      <c r="D176" s="29">
        <v>7.2241435185185195E-3</v>
      </c>
      <c r="E176" t="b">
        <f t="shared" si="4"/>
        <v>1</v>
      </c>
      <c r="G176" t="b">
        <f t="shared" si="5"/>
        <v>0</v>
      </c>
      <c r="P176">
        <v>171</v>
      </c>
      <c r="Q176" s="23" t="s">
        <v>979</v>
      </c>
      <c r="R176" s="29">
        <v>7.2072337962962967E-3</v>
      </c>
      <c r="S176" s="29">
        <v>7.2342708333333339E-3</v>
      </c>
    </row>
    <row r="177" spans="1:19" x14ac:dyDescent="0.3">
      <c r="A177">
        <v>172</v>
      </c>
      <c r="B177" s="23" t="s">
        <v>980</v>
      </c>
      <c r="C177" s="29">
        <v>7.2246180555555553E-3</v>
      </c>
      <c r="D177" s="29">
        <v>7.2516550925925925E-3</v>
      </c>
      <c r="E177" t="b">
        <f t="shared" si="4"/>
        <v>1</v>
      </c>
      <c r="G177" t="b">
        <f t="shared" si="5"/>
        <v>0</v>
      </c>
      <c r="P177">
        <v>172</v>
      </c>
      <c r="Q177" s="23" t="s">
        <v>980</v>
      </c>
      <c r="R177" s="29">
        <v>7.236203703703703E-3</v>
      </c>
      <c r="S177" s="29">
        <v>7.2617824074074078E-3</v>
      </c>
    </row>
    <row r="178" spans="1:19" ht="28.8" x14ac:dyDescent="0.3">
      <c r="A178">
        <v>173</v>
      </c>
      <c r="B178" s="23" t="s">
        <v>981</v>
      </c>
      <c r="C178" s="29">
        <v>7.2521412037037042E-3</v>
      </c>
      <c r="D178" s="29">
        <v>7.2849652777777782E-3</v>
      </c>
      <c r="E178" t="b">
        <f t="shared" si="4"/>
        <v>1</v>
      </c>
      <c r="G178" t="b">
        <f t="shared" si="5"/>
        <v>0</v>
      </c>
      <c r="P178">
        <v>173</v>
      </c>
      <c r="Q178" s="23" t="s">
        <v>981</v>
      </c>
      <c r="R178" s="29">
        <v>7.2637152777777778E-3</v>
      </c>
      <c r="S178" s="29">
        <v>7.2965393518518527E-3</v>
      </c>
    </row>
    <row r="179" spans="1:19" x14ac:dyDescent="0.3">
      <c r="A179">
        <v>174</v>
      </c>
      <c r="B179" s="23" t="s">
        <v>982</v>
      </c>
      <c r="C179" s="29">
        <v>7.3231018518518523E-3</v>
      </c>
      <c r="D179" s="29">
        <v>7.3520601851851846E-3</v>
      </c>
      <c r="E179" t="b">
        <f t="shared" si="4"/>
        <v>1</v>
      </c>
      <c r="G179" t="b">
        <f t="shared" si="5"/>
        <v>0</v>
      </c>
      <c r="P179">
        <v>174</v>
      </c>
      <c r="Q179" s="23" t="s">
        <v>982</v>
      </c>
      <c r="R179" s="29">
        <v>7.3346759259259259E-3</v>
      </c>
      <c r="S179" s="29">
        <v>7.3621990740740748E-3</v>
      </c>
    </row>
    <row r="180" spans="1:19" x14ac:dyDescent="0.3">
      <c r="A180">
        <v>175</v>
      </c>
      <c r="B180" s="23" t="s">
        <v>983</v>
      </c>
      <c r="C180" s="29">
        <v>7.3525462962962963E-3</v>
      </c>
      <c r="D180" s="29">
        <v>7.3757175925925917E-3</v>
      </c>
      <c r="E180" t="b">
        <f t="shared" si="4"/>
        <v>1</v>
      </c>
      <c r="G180" t="b">
        <f t="shared" si="5"/>
        <v>0</v>
      </c>
      <c r="P180">
        <v>175</v>
      </c>
      <c r="Q180" s="23" t="s">
        <v>983</v>
      </c>
      <c r="R180" s="29">
        <v>7.364131944444444E-3</v>
      </c>
      <c r="S180" s="29">
        <v>7.3873032407407412E-3</v>
      </c>
    </row>
    <row r="181" spans="1:19" x14ac:dyDescent="0.3">
      <c r="A181">
        <v>176</v>
      </c>
      <c r="B181" s="23" t="s">
        <v>984</v>
      </c>
      <c r="C181" s="29">
        <v>7.4008217592592598E-3</v>
      </c>
      <c r="D181" s="29">
        <v>7.4191666666666659E-3</v>
      </c>
      <c r="E181" t="b">
        <f t="shared" si="4"/>
        <v>1</v>
      </c>
      <c r="G181" t="b">
        <f t="shared" si="5"/>
        <v>0</v>
      </c>
      <c r="P181">
        <v>176</v>
      </c>
      <c r="Q181" s="23" t="s">
        <v>984</v>
      </c>
      <c r="R181" s="29">
        <v>7.4123958333333342E-3</v>
      </c>
      <c r="S181" s="29">
        <v>7.4292939814814812E-3</v>
      </c>
    </row>
    <row r="182" spans="1:19" x14ac:dyDescent="0.3">
      <c r="A182">
        <v>177</v>
      </c>
      <c r="B182" s="23" t="s">
        <v>985</v>
      </c>
      <c r="C182" s="29">
        <v>7.4196527777777776E-3</v>
      </c>
      <c r="D182" s="29">
        <v>7.4365393518518522E-3</v>
      </c>
      <c r="E182" t="b">
        <f t="shared" si="4"/>
        <v>1</v>
      </c>
      <c r="G182" t="b">
        <f t="shared" si="5"/>
        <v>0</v>
      </c>
      <c r="P182">
        <v>177</v>
      </c>
      <c r="Q182" s="23" t="s">
        <v>985</v>
      </c>
      <c r="R182" s="29">
        <v>7.4312268518518521E-3</v>
      </c>
      <c r="S182" s="29">
        <v>7.4466782407407407E-3</v>
      </c>
    </row>
    <row r="183" spans="1:19" ht="28.8" x14ac:dyDescent="0.3">
      <c r="A183">
        <v>178</v>
      </c>
      <c r="B183" s="23" t="s">
        <v>986</v>
      </c>
      <c r="C183" s="29">
        <v>7.437025462962963E-3</v>
      </c>
      <c r="D183" s="29">
        <v>7.4722685185185187E-3</v>
      </c>
      <c r="E183" t="b">
        <f t="shared" si="4"/>
        <v>1</v>
      </c>
      <c r="G183" t="b">
        <f t="shared" si="5"/>
        <v>0</v>
      </c>
      <c r="P183">
        <v>178</v>
      </c>
      <c r="Q183" s="23" t="s">
        <v>986</v>
      </c>
      <c r="R183" s="29">
        <v>7.4486111111111107E-3</v>
      </c>
      <c r="S183" s="29">
        <v>7.4838425925925932E-3</v>
      </c>
    </row>
    <row r="184" spans="1:19" x14ac:dyDescent="0.3">
      <c r="A184">
        <v>179</v>
      </c>
      <c r="B184" s="23" t="s">
        <v>987</v>
      </c>
      <c r="C184" s="29">
        <v>7.4833680555555556E-3</v>
      </c>
      <c r="D184" s="29">
        <v>7.5002662037037043E-3</v>
      </c>
      <c r="E184" t="b">
        <f t="shared" si="4"/>
        <v>1</v>
      </c>
      <c r="G184" t="b">
        <f t="shared" si="5"/>
        <v>0</v>
      </c>
      <c r="P184">
        <v>179</v>
      </c>
      <c r="Q184" s="23" t="s">
        <v>987</v>
      </c>
      <c r="R184" s="29">
        <v>7.4949537037037033E-3</v>
      </c>
      <c r="S184" s="29">
        <v>7.5118402777777779E-3</v>
      </c>
    </row>
    <row r="185" spans="1:19" x14ac:dyDescent="0.3">
      <c r="A185">
        <v>180</v>
      </c>
      <c r="B185" s="23" t="s">
        <v>988</v>
      </c>
      <c r="C185" s="29">
        <v>7.5108796296296304E-3</v>
      </c>
      <c r="D185" s="29">
        <v>7.5335763888888883E-3</v>
      </c>
      <c r="E185" t="b">
        <f t="shared" si="4"/>
        <v>1</v>
      </c>
      <c r="G185" t="b">
        <f t="shared" si="5"/>
        <v>0</v>
      </c>
      <c r="P185">
        <v>180</v>
      </c>
      <c r="Q185" s="23" t="s">
        <v>988</v>
      </c>
      <c r="R185" s="29">
        <v>7.5224652777777781E-3</v>
      </c>
      <c r="S185" s="29">
        <v>7.5451504629629627E-3</v>
      </c>
    </row>
    <row r="186" spans="1:19" ht="28.8" x14ac:dyDescent="0.3">
      <c r="A186">
        <v>181</v>
      </c>
      <c r="B186" s="23" t="s">
        <v>989</v>
      </c>
      <c r="C186" s="29">
        <v>7.5364699074074067E-3</v>
      </c>
      <c r="D186" s="29">
        <v>7.5736458333333341E-3</v>
      </c>
      <c r="E186" t="b">
        <f t="shared" si="4"/>
        <v>1</v>
      </c>
      <c r="G186" t="b">
        <f t="shared" si="5"/>
        <v>0</v>
      </c>
      <c r="P186">
        <v>181</v>
      </c>
      <c r="Q186" s="23" t="s">
        <v>989</v>
      </c>
      <c r="R186" s="29">
        <v>7.5480555555555561E-3</v>
      </c>
      <c r="S186" s="29">
        <v>7.5837731481481485E-3</v>
      </c>
    </row>
    <row r="187" spans="1:19" ht="28.8" x14ac:dyDescent="0.3">
      <c r="A187">
        <v>182</v>
      </c>
      <c r="B187" s="23" t="s">
        <v>990</v>
      </c>
      <c r="C187" s="29">
        <v>7.5741203703703699E-3</v>
      </c>
      <c r="D187" s="29">
        <v>7.5929513888888887E-3</v>
      </c>
      <c r="E187" t="b">
        <f t="shared" si="4"/>
        <v>1</v>
      </c>
      <c r="G187" t="b">
        <f t="shared" si="5"/>
        <v>0</v>
      </c>
      <c r="P187">
        <v>182</v>
      </c>
      <c r="Q187" s="23" t="s">
        <v>990</v>
      </c>
      <c r="R187" s="29">
        <v>7.5857060185185185E-3</v>
      </c>
      <c r="S187" s="29">
        <v>7.603078703703703E-3</v>
      </c>
    </row>
    <row r="188" spans="1:19" x14ac:dyDescent="0.3">
      <c r="A188">
        <v>183</v>
      </c>
      <c r="B188" s="23" t="s">
        <v>991</v>
      </c>
      <c r="C188" s="29">
        <v>7.5934374999999995E-3</v>
      </c>
      <c r="D188" s="29">
        <v>7.6146759259259258E-3</v>
      </c>
      <c r="E188" t="b">
        <f t="shared" si="4"/>
        <v>1</v>
      </c>
      <c r="G188" t="b">
        <f t="shared" si="5"/>
        <v>0</v>
      </c>
      <c r="P188">
        <v>183</v>
      </c>
      <c r="Q188" s="23" t="s">
        <v>991</v>
      </c>
      <c r="R188" s="29">
        <v>7.6050115740740739E-3</v>
      </c>
      <c r="S188" s="29">
        <v>7.624803240740741E-3</v>
      </c>
    </row>
    <row r="189" spans="1:19" ht="28.8" x14ac:dyDescent="0.3">
      <c r="A189">
        <v>184</v>
      </c>
      <c r="B189" s="23" t="s">
        <v>992</v>
      </c>
      <c r="C189" s="29">
        <v>7.6151504629629625E-3</v>
      </c>
      <c r="D189" s="29">
        <v>7.6402546296296305E-3</v>
      </c>
      <c r="E189" t="b">
        <f t="shared" si="4"/>
        <v>1</v>
      </c>
      <c r="G189" t="b">
        <f t="shared" si="5"/>
        <v>0</v>
      </c>
      <c r="P189">
        <v>184</v>
      </c>
      <c r="Q189" s="23" t="s">
        <v>992</v>
      </c>
      <c r="R189" s="29">
        <v>7.6267361111111119E-3</v>
      </c>
      <c r="S189" s="29">
        <v>7.650393518518519E-3</v>
      </c>
    </row>
    <row r="190" spans="1:19" ht="28.8" x14ac:dyDescent="0.3">
      <c r="A190">
        <v>185</v>
      </c>
      <c r="B190" s="23" t="s">
        <v>993</v>
      </c>
      <c r="C190" s="29">
        <v>7.6407407407407405E-3</v>
      </c>
      <c r="D190" s="29">
        <v>7.679837962962963E-3</v>
      </c>
      <c r="E190" t="b">
        <f t="shared" si="4"/>
        <v>1</v>
      </c>
      <c r="G190" t="b">
        <f t="shared" si="5"/>
        <v>0</v>
      </c>
      <c r="P190">
        <v>185</v>
      </c>
      <c r="Q190" s="23" t="s">
        <v>993</v>
      </c>
      <c r="R190" s="29">
        <v>7.6523263888888882E-3</v>
      </c>
      <c r="S190" s="29">
        <v>7.6899768518518515E-3</v>
      </c>
    </row>
    <row r="191" spans="1:19" ht="28.8" x14ac:dyDescent="0.3">
      <c r="A191">
        <v>186</v>
      </c>
      <c r="B191" s="23" t="s">
        <v>994</v>
      </c>
      <c r="C191" s="29">
        <v>7.6803240740740747E-3</v>
      </c>
      <c r="D191" s="29">
        <v>7.7179745370370371E-3</v>
      </c>
      <c r="E191" t="b">
        <f t="shared" si="4"/>
        <v>1</v>
      </c>
      <c r="G191" t="b">
        <f t="shared" si="5"/>
        <v>0</v>
      </c>
      <c r="P191">
        <v>186</v>
      </c>
      <c r="Q191" s="23" t="s">
        <v>994</v>
      </c>
      <c r="R191" s="29">
        <v>7.6919097222222224E-3</v>
      </c>
      <c r="S191" s="29">
        <v>7.7295601851851848E-3</v>
      </c>
    </row>
    <row r="192" spans="1:19" x14ac:dyDescent="0.3">
      <c r="A192">
        <v>187</v>
      </c>
      <c r="B192" s="23" t="s">
        <v>995</v>
      </c>
      <c r="C192" s="29">
        <v>7.7734953703703707E-3</v>
      </c>
      <c r="D192" s="29">
        <v>7.8077662037037039E-3</v>
      </c>
      <c r="E192" t="b">
        <f t="shared" si="4"/>
        <v>1</v>
      </c>
      <c r="G192" t="b">
        <f t="shared" si="5"/>
        <v>0</v>
      </c>
      <c r="P192">
        <v>187</v>
      </c>
      <c r="Q192" s="23" t="s">
        <v>995</v>
      </c>
      <c r="R192" s="29">
        <v>7.7850694444444443E-3</v>
      </c>
      <c r="S192" s="29">
        <v>7.8193518518518516E-3</v>
      </c>
    </row>
    <row r="193" spans="1:19" x14ac:dyDescent="0.3">
      <c r="A193">
        <v>188</v>
      </c>
      <c r="B193" s="23" t="s">
        <v>996</v>
      </c>
      <c r="C193" s="29">
        <v>7.8135648148148149E-3</v>
      </c>
      <c r="D193" s="29">
        <v>7.8483217592592597E-3</v>
      </c>
      <c r="E193" t="b">
        <f t="shared" si="4"/>
        <v>1</v>
      </c>
      <c r="G193" t="b">
        <f t="shared" si="5"/>
        <v>0</v>
      </c>
      <c r="P193">
        <v>188</v>
      </c>
      <c r="Q193" s="23" t="s">
        <v>996</v>
      </c>
      <c r="R193" s="29">
        <v>7.8251388888888884E-3</v>
      </c>
      <c r="S193" s="29">
        <v>7.858449074074075E-3</v>
      </c>
    </row>
    <row r="194" spans="1:19" ht="28.8" x14ac:dyDescent="0.3">
      <c r="A194">
        <v>189</v>
      </c>
      <c r="B194" s="23" t="s">
        <v>997</v>
      </c>
      <c r="C194" s="29">
        <v>7.8487962962962964E-3</v>
      </c>
      <c r="D194" s="29">
        <v>7.8748726851851861E-3</v>
      </c>
      <c r="E194" t="b">
        <f t="shared" si="4"/>
        <v>1</v>
      </c>
      <c r="G194" t="b">
        <f t="shared" si="5"/>
        <v>0</v>
      </c>
      <c r="P194">
        <v>189</v>
      </c>
      <c r="Q194" s="23" t="s">
        <v>997</v>
      </c>
      <c r="R194" s="29">
        <v>7.8603819444444441E-3</v>
      </c>
      <c r="S194" s="29">
        <v>7.8849999999999996E-3</v>
      </c>
    </row>
    <row r="195" spans="1:19" ht="28.8" x14ac:dyDescent="0.3">
      <c r="A195">
        <v>190</v>
      </c>
      <c r="B195" s="23" t="s">
        <v>998</v>
      </c>
      <c r="C195" s="29">
        <v>7.8753472222222211E-3</v>
      </c>
      <c r="D195" s="29">
        <v>7.9231365740740738E-3</v>
      </c>
      <c r="E195" t="b">
        <f t="shared" si="4"/>
        <v>1</v>
      </c>
      <c r="G195" t="b">
        <f t="shared" si="5"/>
        <v>0</v>
      </c>
      <c r="P195">
        <v>190</v>
      </c>
      <c r="Q195" s="23" t="s">
        <v>998</v>
      </c>
      <c r="R195" s="29">
        <v>7.8869328703703705E-3</v>
      </c>
      <c r="S195" s="29">
        <v>7.9332754629629632E-3</v>
      </c>
    </row>
    <row r="196" spans="1:19" ht="28.8" x14ac:dyDescent="0.3">
      <c r="A196">
        <v>191</v>
      </c>
      <c r="B196" s="23" t="s">
        <v>999</v>
      </c>
      <c r="C196" s="29">
        <v>7.9236226851851846E-3</v>
      </c>
      <c r="D196" s="29">
        <v>7.9670717592592588E-3</v>
      </c>
      <c r="E196" t="b">
        <f t="shared" si="4"/>
        <v>1</v>
      </c>
      <c r="G196" t="b">
        <f t="shared" si="5"/>
        <v>0</v>
      </c>
      <c r="P196">
        <v>191</v>
      </c>
      <c r="Q196" s="23" t="s">
        <v>999</v>
      </c>
      <c r="R196" s="29">
        <v>7.9352083333333323E-3</v>
      </c>
      <c r="S196" s="29">
        <v>7.9786458333333341E-3</v>
      </c>
    </row>
    <row r="197" spans="1:19" x14ac:dyDescent="0.3">
      <c r="A197">
        <v>192</v>
      </c>
      <c r="B197" s="23" t="s">
        <v>1000</v>
      </c>
      <c r="C197" s="29">
        <v>7.9834837962962958E-3</v>
      </c>
      <c r="D197" s="29">
        <v>8.0008564814814821E-3</v>
      </c>
      <c r="E197" t="b">
        <f t="shared" si="4"/>
        <v>1</v>
      </c>
      <c r="G197" t="b">
        <f t="shared" si="5"/>
        <v>0</v>
      </c>
      <c r="P197">
        <v>192</v>
      </c>
      <c r="Q197" s="23" t="s">
        <v>1000</v>
      </c>
      <c r="R197" s="29">
        <v>7.9950578703703711E-3</v>
      </c>
      <c r="S197" s="29">
        <v>8.0124421296296298E-3</v>
      </c>
    </row>
    <row r="198" spans="1:19" ht="28.8" x14ac:dyDescent="0.3">
      <c r="A198">
        <v>193</v>
      </c>
      <c r="B198" s="23" t="s">
        <v>1001</v>
      </c>
      <c r="C198" s="29">
        <v>8.0182407407407407E-3</v>
      </c>
      <c r="D198" s="29">
        <v>8.0428587962962962E-3</v>
      </c>
      <c r="E198" t="b">
        <f t="shared" ref="E198:E261" si="6">B198=Q198</f>
        <v>1</v>
      </c>
      <c r="G198" t="b">
        <f t="shared" ref="G198:G261" si="7">C198=R198</f>
        <v>0</v>
      </c>
      <c r="P198">
        <v>193</v>
      </c>
      <c r="Q198" s="23" t="s">
        <v>1001</v>
      </c>
      <c r="R198" s="29">
        <v>8.0298148148148143E-3</v>
      </c>
      <c r="S198" s="29">
        <v>8.0529861111111115E-3</v>
      </c>
    </row>
    <row r="199" spans="1:19" x14ac:dyDescent="0.3">
      <c r="A199">
        <v>194</v>
      </c>
      <c r="B199" s="23" t="s">
        <v>1002</v>
      </c>
      <c r="C199" s="29">
        <v>8.0433449074074088E-3</v>
      </c>
      <c r="D199" s="29">
        <v>8.0742361111111119E-3</v>
      </c>
      <c r="E199" t="b">
        <f t="shared" si="6"/>
        <v>1</v>
      </c>
      <c r="G199" t="b">
        <f t="shared" si="7"/>
        <v>0</v>
      </c>
      <c r="P199">
        <v>194</v>
      </c>
      <c r="Q199" s="23" t="s">
        <v>1002</v>
      </c>
      <c r="R199" s="29">
        <v>8.0549189814814823E-3</v>
      </c>
      <c r="S199" s="29">
        <v>8.0858217592592596E-3</v>
      </c>
    </row>
    <row r="200" spans="1:19" x14ac:dyDescent="0.3">
      <c r="A200">
        <v>195</v>
      </c>
      <c r="B200" s="23" t="s">
        <v>1003</v>
      </c>
      <c r="C200" s="29">
        <v>8.0877546296296305E-3</v>
      </c>
      <c r="D200" s="29">
        <v>8.1152662037037044E-3</v>
      </c>
      <c r="E200" t="b">
        <f t="shared" si="6"/>
        <v>1</v>
      </c>
      <c r="G200" t="b">
        <f t="shared" si="7"/>
        <v>0</v>
      </c>
      <c r="P200">
        <v>195</v>
      </c>
      <c r="Q200" s="23" t="s">
        <v>1003</v>
      </c>
      <c r="R200" s="29">
        <v>8.0993287037037041E-3</v>
      </c>
      <c r="S200" s="29">
        <v>8.1268518518518521E-3</v>
      </c>
    </row>
    <row r="201" spans="1:19" x14ac:dyDescent="0.3">
      <c r="A201">
        <v>196</v>
      </c>
      <c r="B201" s="23" t="s">
        <v>1004</v>
      </c>
      <c r="C201" s="29">
        <v>8.1331249999999997E-3</v>
      </c>
      <c r="D201" s="29">
        <v>8.1611342592592586E-3</v>
      </c>
      <c r="E201" t="b">
        <f t="shared" si="6"/>
        <v>1</v>
      </c>
      <c r="G201" t="b">
        <f t="shared" si="7"/>
        <v>0</v>
      </c>
      <c r="P201">
        <v>196</v>
      </c>
      <c r="Q201" s="23" t="s">
        <v>1004</v>
      </c>
      <c r="R201" s="29">
        <v>8.1446990740740733E-3</v>
      </c>
      <c r="S201" s="29">
        <v>8.1712615740740738E-3</v>
      </c>
    </row>
    <row r="202" spans="1:19" x14ac:dyDescent="0.3">
      <c r="A202">
        <v>197</v>
      </c>
      <c r="B202" s="23" t="s">
        <v>1005</v>
      </c>
      <c r="C202" s="29">
        <v>8.161608796296297E-3</v>
      </c>
      <c r="D202" s="29">
        <v>8.1900925925925926E-3</v>
      </c>
      <c r="E202" t="b">
        <f t="shared" si="6"/>
        <v>1</v>
      </c>
      <c r="G202" t="b">
        <f t="shared" si="7"/>
        <v>0</v>
      </c>
      <c r="P202">
        <v>197</v>
      </c>
      <c r="Q202" s="23" t="s">
        <v>1005</v>
      </c>
      <c r="R202" s="29">
        <v>8.1731944444444447E-3</v>
      </c>
      <c r="S202" s="29">
        <v>8.2016782407407403E-3</v>
      </c>
    </row>
    <row r="203" spans="1:19" x14ac:dyDescent="0.3">
      <c r="A203">
        <v>198</v>
      </c>
      <c r="B203" s="23" t="s">
        <v>1006</v>
      </c>
      <c r="C203" s="29">
        <v>8.2050578703703712E-3</v>
      </c>
      <c r="D203" s="29">
        <v>8.2403009259259252E-3</v>
      </c>
      <c r="E203" t="b">
        <f t="shared" si="6"/>
        <v>1</v>
      </c>
      <c r="G203" t="b">
        <f t="shared" si="7"/>
        <v>0</v>
      </c>
      <c r="P203">
        <v>198</v>
      </c>
      <c r="Q203" s="23" t="s">
        <v>1006</v>
      </c>
      <c r="R203" s="29">
        <v>8.216643518518519E-3</v>
      </c>
      <c r="S203" s="29">
        <v>8.2504282407407405E-3</v>
      </c>
    </row>
    <row r="204" spans="1:19" ht="28.8" x14ac:dyDescent="0.3">
      <c r="A204">
        <v>199</v>
      </c>
      <c r="B204" s="23" t="s">
        <v>1007</v>
      </c>
      <c r="C204" s="29">
        <v>8.2407754629629636E-3</v>
      </c>
      <c r="D204" s="29">
        <v>8.2755324074074068E-3</v>
      </c>
      <c r="E204" t="b">
        <f t="shared" si="6"/>
        <v>1</v>
      </c>
      <c r="G204" t="b">
        <f t="shared" si="7"/>
        <v>0</v>
      </c>
      <c r="P204">
        <v>199</v>
      </c>
      <c r="Q204" s="23" t="s">
        <v>1007</v>
      </c>
      <c r="R204" s="29">
        <v>8.2523611111111114E-3</v>
      </c>
      <c r="S204" s="29">
        <v>8.2856712962962962E-3</v>
      </c>
    </row>
    <row r="205" spans="1:19" x14ac:dyDescent="0.3">
      <c r="A205">
        <v>200</v>
      </c>
      <c r="B205" s="23" t="s">
        <v>1008</v>
      </c>
      <c r="C205" s="29">
        <v>8.2760185185185194E-3</v>
      </c>
      <c r="D205" s="29">
        <v>8.3016087962962965E-3</v>
      </c>
      <c r="E205" t="b">
        <f t="shared" si="6"/>
        <v>1</v>
      </c>
      <c r="G205" t="b">
        <f t="shared" si="7"/>
        <v>0</v>
      </c>
      <c r="P205">
        <v>200</v>
      </c>
      <c r="Q205" s="23" t="s">
        <v>1008</v>
      </c>
      <c r="R205" s="29">
        <v>8.2876041666666671E-3</v>
      </c>
      <c r="S205" s="29">
        <v>8.3117361111111118E-3</v>
      </c>
    </row>
    <row r="206" spans="1:19" x14ac:dyDescent="0.3">
      <c r="A206">
        <v>201</v>
      </c>
      <c r="B206" s="23" t="s">
        <v>1009</v>
      </c>
      <c r="C206" s="29">
        <v>8.3020833333333332E-3</v>
      </c>
      <c r="D206" s="29">
        <v>8.3233333333333336E-3</v>
      </c>
      <c r="E206" t="b">
        <f t="shared" si="6"/>
        <v>1</v>
      </c>
      <c r="G206" t="b">
        <f t="shared" si="7"/>
        <v>0</v>
      </c>
      <c r="P206">
        <v>201</v>
      </c>
      <c r="Q206" s="23" t="s">
        <v>1009</v>
      </c>
      <c r="R206" s="29">
        <v>8.3136689814814826E-3</v>
      </c>
      <c r="S206" s="29">
        <v>8.3334606481481471E-3</v>
      </c>
    </row>
    <row r="207" spans="1:19" x14ac:dyDescent="0.3">
      <c r="A207">
        <v>202</v>
      </c>
      <c r="B207" s="23" t="s">
        <v>1010</v>
      </c>
      <c r="C207" s="29">
        <v>8.3238078703703703E-3</v>
      </c>
      <c r="D207" s="29">
        <v>8.3498842592592583E-3</v>
      </c>
      <c r="E207" t="b">
        <f t="shared" si="6"/>
        <v>1</v>
      </c>
      <c r="G207" t="b">
        <f t="shared" si="7"/>
        <v>0</v>
      </c>
      <c r="P207">
        <v>202</v>
      </c>
      <c r="Q207" s="23" t="s">
        <v>1010</v>
      </c>
      <c r="R207" s="29">
        <v>8.335393518518518E-3</v>
      </c>
      <c r="S207" s="29">
        <v>8.3600115740740735E-3</v>
      </c>
    </row>
    <row r="208" spans="1:19" x14ac:dyDescent="0.3">
      <c r="A208">
        <v>203</v>
      </c>
      <c r="B208" s="23" t="s">
        <v>1011</v>
      </c>
      <c r="C208" s="29">
        <v>8.3503587962962967E-3</v>
      </c>
      <c r="D208" s="29">
        <v>8.3672569444444445E-3</v>
      </c>
      <c r="E208" t="b">
        <f t="shared" si="6"/>
        <v>1</v>
      </c>
      <c r="G208" t="b">
        <f t="shared" si="7"/>
        <v>0</v>
      </c>
      <c r="P208">
        <v>203</v>
      </c>
      <c r="Q208" s="23" t="s">
        <v>1011</v>
      </c>
      <c r="R208" s="29">
        <v>8.3619444444444444E-3</v>
      </c>
      <c r="S208" s="29">
        <v>8.3773842592592598E-3</v>
      </c>
    </row>
    <row r="209" spans="1:19" ht="28.8" x14ac:dyDescent="0.3">
      <c r="A209">
        <v>204</v>
      </c>
      <c r="B209" s="23" t="s">
        <v>1012</v>
      </c>
      <c r="C209" s="29">
        <v>8.3677430555555554E-3</v>
      </c>
      <c r="D209" s="29">
        <v>8.4044328703703711E-3</v>
      </c>
      <c r="E209" t="b">
        <f t="shared" si="6"/>
        <v>1</v>
      </c>
      <c r="G209" t="b">
        <f t="shared" si="7"/>
        <v>0</v>
      </c>
      <c r="P209">
        <v>204</v>
      </c>
      <c r="Q209" s="23" t="s">
        <v>1012</v>
      </c>
      <c r="R209" s="29">
        <v>8.3793171296296289E-3</v>
      </c>
      <c r="S209" s="29">
        <v>8.4160069444444447E-3</v>
      </c>
    </row>
    <row r="210" spans="1:19" x14ac:dyDescent="0.3">
      <c r="A210">
        <v>205</v>
      </c>
      <c r="B210" s="23" t="s">
        <v>1013</v>
      </c>
      <c r="C210" s="29">
        <v>8.4285648148148141E-3</v>
      </c>
      <c r="D210" s="29">
        <v>8.4440162037037036E-3</v>
      </c>
      <c r="E210" t="b">
        <f t="shared" si="6"/>
        <v>1</v>
      </c>
      <c r="G210" t="b">
        <f t="shared" si="7"/>
        <v>0</v>
      </c>
      <c r="P210">
        <v>205</v>
      </c>
      <c r="Q210" s="23" t="s">
        <v>1013</v>
      </c>
      <c r="R210" s="29">
        <v>8.4401504629629635E-3</v>
      </c>
      <c r="S210" s="29">
        <v>8.4541435185185188E-3</v>
      </c>
    </row>
    <row r="211" spans="1:19" ht="28.8" x14ac:dyDescent="0.3">
      <c r="A211">
        <v>206</v>
      </c>
      <c r="B211" s="23" t="s">
        <v>1014</v>
      </c>
      <c r="C211" s="29">
        <v>8.444490740740742E-3</v>
      </c>
      <c r="D211" s="29">
        <v>8.4802199074074085E-3</v>
      </c>
      <c r="E211" t="b">
        <f t="shared" si="6"/>
        <v>1</v>
      </c>
      <c r="G211" t="b">
        <f t="shared" si="7"/>
        <v>0</v>
      </c>
      <c r="P211">
        <v>206</v>
      </c>
      <c r="Q211" s="23" t="s">
        <v>1014</v>
      </c>
      <c r="R211" s="29">
        <v>8.4560763888888897E-3</v>
      </c>
      <c r="S211" s="29">
        <v>8.4917939814814821E-3</v>
      </c>
    </row>
    <row r="212" spans="1:19" x14ac:dyDescent="0.3">
      <c r="A212">
        <v>207</v>
      </c>
      <c r="B212" s="23" t="s">
        <v>1015</v>
      </c>
      <c r="C212" s="29">
        <v>8.4918055555555563E-3</v>
      </c>
      <c r="D212" s="29">
        <v>8.5226967592592594E-3</v>
      </c>
      <c r="E212" t="b">
        <f t="shared" si="6"/>
        <v>1</v>
      </c>
      <c r="G212" t="b">
        <f t="shared" si="7"/>
        <v>0</v>
      </c>
      <c r="P212">
        <v>207</v>
      </c>
      <c r="Q212" s="23" t="s">
        <v>1015</v>
      </c>
      <c r="R212" s="29">
        <v>8.5033796296296298E-3</v>
      </c>
      <c r="S212" s="29">
        <v>8.5342824074074071E-3</v>
      </c>
    </row>
    <row r="213" spans="1:19" ht="28.8" x14ac:dyDescent="0.3">
      <c r="A213">
        <v>208</v>
      </c>
      <c r="B213" s="23" t="s">
        <v>1016</v>
      </c>
      <c r="C213" s="29">
        <v>8.5347685185185179E-3</v>
      </c>
      <c r="D213" s="29">
        <v>8.5709722222222229E-3</v>
      </c>
      <c r="E213" t="b">
        <f t="shared" si="6"/>
        <v>1</v>
      </c>
      <c r="G213" t="b">
        <f t="shared" si="7"/>
        <v>0</v>
      </c>
      <c r="P213">
        <v>208</v>
      </c>
      <c r="Q213" s="23" t="s">
        <v>1016</v>
      </c>
      <c r="R213" s="29">
        <v>8.5463425925925932E-3</v>
      </c>
      <c r="S213" s="29">
        <v>8.5810995370370381E-3</v>
      </c>
    </row>
    <row r="214" spans="1:19" ht="28.8" x14ac:dyDescent="0.3">
      <c r="A214">
        <v>209</v>
      </c>
      <c r="B214" s="23" t="s">
        <v>1017</v>
      </c>
      <c r="C214" s="29">
        <v>8.571458333333332E-3</v>
      </c>
      <c r="D214" s="29">
        <v>8.6076620370370369E-3</v>
      </c>
      <c r="E214" t="b">
        <f t="shared" si="6"/>
        <v>1</v>
      </c>
      <c r="G214" t="b">
        <f t="shared" si="7"/>
        <v>0</v>
      </c>
      <c r="P214">
        <v>209</v>
      </c>
      <c r="Q214" s="23" t="s">
        <v>1017</v>
      </c>
      <c r="R214" s="29">
        <v>8.5830324074074073E-3</v>
      </c>
      <c r="S214" s="29">
        <v>8.6192361111111105E-3</v>
      </c>
    </row>
    <row r="215" spans="1:19" x14ac:dyDescent="0.3">
      <c r="A215">
        <v>210</v>
      </c>
      <c r="B215" s="23" t="s">
        <v>1018</v>
      </c>
      <c r="C215" s="29">
        <v>8.6192476851851847E-3</v>
      </c>
      <c r="D215" s="29">
        <v>8.6544791666666662E-3</v>
      </c>
      <c r="E215" t="b">
        <f t="shared" si="6"/>
        <v>1</v>
      </c>
      <c r="G215" t="b">
        <f t="shared" si="7"/>
        <v>0</v>
      </c>
      <c r="P215">
        <v>210</v>
      </c>
      <c r="Q215" s="23" t="s">
        <v>1018</v>
      </c>
      <c r="R215" s="29">
        <v>8.6308217592592582E-3</v>
      </c>
      <c r="S215" s="29">
        <v>8.6660532407407398E-3</v>
      </c>
    </row>
    <row r="216" spans="1:19" ht="28.8" x14ac:dyDescent="0.3">
      <c r="A216">
        <v>211</v>
      </c>
      <c r="B216" s="23" t="s">
        <v>1019</v>
      </c>
      <c r="C216" s="29">
        <v>8.6626967592592589E-3</v>
      </c>
      <c r="D216" s="29">
        <v>8.7128935185185191E-3</v>
      </c>
      <c r="E216" t="b">
        <f t="shared" si="6"/>
        <v>1</v>
      </c>
      <c r="G216" t="b">
        <f t="shared" si="7"/>
        <v>0</v>
      </c>
      <c r="P216">
        <v>211</v>
      </c>
      <c r="Q216" s="23" t="s">
        <v>1019</v>
      </c>
      <c r="R216" s="29">
        <v>8.6742708333333324E-3</v>
      </c>
      <c r="S216" s="29">
        <v>8.7244791666666668E-3</v>
      </c>
    </row>
    <row r="217" spans="1:19" ht="28.8" x14ac:dyDescent="0.3">
      <c r="A217">
        <v>212</v>
      </c>
      <c r="B217" s="23" t="s">
        <v>1020</v>
      </c>
      <c r="C217" s="29">
        <v>8.7302777777777778E-3</v>
      </c>
      <c r="D217" s="29">
        <v>8.7631018518518518E-3</v>
      </c>
      <c r="E217" t="b">
        <f t="shared" si="6"/>
        <v>1</v>
      </c>
      <c r="G217" t="b">
        <f t="shared" si="7"/>
        <v>0</v>
      </c>
      <c r="P217">
        <v>212</v>
      </c>
      <c r="Q217" s="23" t="s">
        <v>1020</v>
      </c>
      <c r="R217" s="29">
        <v>8.7418518518518531E-3</v>
      </c>
      <c r="S217" s="29">
        <v>8.7746759259259254E-3</v>
      </c>
    </row>
    <row r="218" spans="1:19" x14ac:dyDescent="0.3">
      <c r="A218">
        <v>213</v>
      </c>
      <c r="B218" s="23" t="s">
        <v>1021</v>
      </c>
      <c r="C218" s="29">
        <v>8.7684143518518519E-3</v>
      </c>
      <c r="D218" s="29">
        <v>8.7896527777777782E-3</v>
      </c>
      <c r="E218" t="b">
        <f t="shared" si="6"/>
        <v>1</v>
      </c>
      <c r="G218" t="b">
        <f t="shared" si="7"/>
        <v>0</v>
      </c>
      <c r="P218">
        <v>213</v>
      </c>
      <c r="Q218" s="23" t="s">
        <v>1021</v>
      </c>
      <c r="R218" s="29">
        <v>8.7799884259259255E-3</v>
      </c>
      <c r="S218" s="29">
        <v>8.7997800925925934E-3</v>
      </c>
    </row>
    <row r="219" spans="1:19" ht="28.8" x14ac:dyDescent="0.3">
      <c r="A219">
        <v>214</v>
      </c>
      <c r="B219" s="23" t="s">
        <v>1022</v>
      </c>
      <c r="C219" s="29">
        <v>8.790138888888889E-3</v>
      </c>
      <c r="D219" s="29">
        <v>8.8301967592592581E-3</v>
      </c>
      <c r="E219" t="b">
        <f t="shared" si="6"/>
        <v>1</v>
      </c>
      <c r="G219" t="b">
        <f t="shared" si="7"/>
        <v>0</v>
      </c>
      <c r="P219">
        <v>214</v>
      </c>
      <c r="Q219" s="23" t="s">
        <v>1022</v>
      </c>
      <c r="R219" s="29">
        <v>8.8017129629629626E-3</v>
      </c>
      <c r="S219" s="29">
        <v>8.8403356481481475E-3</v>
      </c>
    </row>
    <row r="220" spans="1:19" x14ac:dyDescent="0.3">
      <c r="A220">
        <v>215</v>
      </c>
      <c r="B220" s="23" t="s">
        <v>1023</v>
      </c>
      <c r="C220" s="29">
        <v>8.8306828703703707E-3</v>
      </c>
      <c r="D220" s="29">
        <v>8.8514351851851861E-3</v>
      </c>
      <c r="E220" t="b">
        <f t="shared" si="6"/>
        <v>1</v>
      </c>
      <c r="G220" t="b">
        <f t="shared" si="7"/>
        <v>0</v>
      </c>
      <c r="P220">
        <v>215</v>
      </c>
      <c r="Q220" s="23" t="s">
        <v>1023</v>
      </c>
      <c r="R220" s="29">
        <v>8.8422685185185184E-3</v>
      </c>
      <c r="S220" s="29">
        <v>8.8615740740740738E-3</v>
      </c>
    </row>
    <row r="221" spans="1:19" x14ac:dyDescent="0.3">
      <c r="A221">
        <v>216</v>
      </c>
      <c r="B221" s="23" t="s">
        <v>1024</v>
      </c>
      <c r="C221" s="29">
        <v>8.851921296296297E-3</v>
      </c>
      <c r="D221" s="29">
        <v>8.8741319444444449E-3</v>
      </c>
      <c r="E221" t="b">
        <f t="shared" si="6"/>
        <v>1</v>
      </c>
      <c r="G221" t="b">
        <f t="shared" si="7"/>
        <v>0</v>
      </c>
      <c r="P221">
        <v>216</v>
      </c>
      <c r="Q221" s="23" t="s">
        <v>1024</v>
      </c>
      <c r="R221" s="29">
        <v>8.8635069444444447E-3</v>
      </c>
      <c r="S221" s="29">
        <v>8.8842592592592601E-3</v>
      </c>
    </row>
    <row r="222" spans="1:19" x14ac:dyDescent="0.3">
      <c r="A222">
        <v>217</v>
      </c>
      <c r="B222" s="23" t="s">
        <v>1025</v>
      </c>
      <c r="C222" s="29">
        <v>8.8746064814814816E-3</v>
      </c>
      <c r="D222" s="29">
        <v>8.8977777777777788E-3</v>
      </c>
      <c r="E222" t="b">
        <f t="shared" si="6"/>
        <v>1</v>
      </c>
      <c r="G222" t="b">
        <f t="shared" si="7"/>
        <v>0</v>
      </c>
      <c r="P222">
        <v>217</v>
      </c>
      <c r="Q222" s="23" t="s">
        <v>1025</v>
      </c>
      <c r="R222" s="29">
        <v>8.8861805555555552E-3</v>
      </c>
      <c r="S222" s="29">
        <v>8.9079166666666664E-3</v>
      </c>
    </row>
    <row r="223" spans="1:19" ht="28.8" x14ac:dyDescent="0.3">
      <c r="A223">
        <v>218</v>
      </c>
      <c r="B223" s="23" t="s">
        <v>1026</v>
      </c>
      <c r="C223" s="29">
        <v>8.8982638888888878E-3</v>
      </c>
      <c r="D223" s="29">
        <v>8.9388194444444437E-3</v>
      </c>
      <c r="E223" t="b">
        <f t="shared" si="6"/>
        <v>1</v>
      </c>
      <c r="G223" t="b">
        <f t="shared" si="7"/>
        <v>0</v>
      </c>
      <c r="P223">
        <v>218</v>
      </c>
      <c r="Q223" s="23" t="s">
        <v>1026</v>
      </c>
      <c r="R223" s="29">
        <v>8.9098495370370373E-3</v>
      </c>
      <c r="S223" s="29">
        <v>8.9503935185185172E-3</v>
      </c>
    </row>
    <row r="224" spans="1:19" ht="28.8" x14ac:dyDescent="0.3">
      <c r="A224">
        <v>219</v>
      </c>
      <c r="B224" s="23" t="s">
        <v>1027</v>
      </c>
      <c r="C224" s="29">
        <v>8.9552314814814807E-3</v>
      </c>
      <c r="D224" s="29">
        <v>8.9977083333333333E-3</v>
      </c>
      <c r="E224" t="b">
        <f t="shared" si="6"/>
        <v>1</v>
      </c>
      <c r="G224" t="b">
        <f t="shared" si="7"/>
        <v>0</v>
      </c>
      <c r="P224">
        <v>219</v>
      </c>
      <c r="Q224" s="23" t="s">
        <v>1027</v>
      </c>
      <c r="R224" s="29">
        <v>8.966805555555556E-3</v>
      </c>
      <c r="S224" s="29">
        <v>9.009293981481481E-3</v>
      </c>
    </row>
    <row r="225" spans="1:19" x14ac:dyDescent="0.3">
      <c r="A225">
        <v>220</v>
      </c>
      <c r="B225" s="23" t="s">
        <v>573</v>
      </c>
      <c r="C225" s="29">
        <v>9.0160532407407411E-3</v>
      </c>
      <c r="D225" s="29">
        <v>9.0285995370370381E-3</v>
      </c>
      <c r="E225" t="b">
        <f t="shared" si="6"/>
        <v>1</v>
      </c>
      <c r="G225" t="b">
        <f t="shared" si="7"/>
        <v>0</v>
      </c>
      <c r="P225">
        <v>220</v>
      </c>
      <c r="Q225" s="23" t="s">
        <v>573</v>
      </c>
      <c r="R225" s="29">
        <v>9.0276388888888889E-3</v>
      </c>
      <c r="S225" s="29">
        <v>9.0401851851851858E-3</v>
      </c>
    </row>
    <row r="226" spans="1:19" x14ac:dyDescent="0.3">
      <c r="A226">
        <v>221</v>
      </c>
      <c r="B226" s="23" t="s">
        <v>1028</v>
      </c>
      <c r="C226" s="29">
        <v>9.0411574074074075E-3</v>
      </c>
      <c r="D226" s="29">
        <v>9.0706018518518523E-3</v>
      </c>
      <c r="E226" t="b">
        <f t="shared" si="6"/>
        <v>1</v>
      </c>
      <c r="G226" t="b">
        <f t="shared" si="7"/>
        <v>0</v>
      </c>
      <c r="P226">
        <v>221</v>
      </c>
      <c r="Q226" s="23" t="s">
        <v>1028</v>
      </c>
      <c r="R226" s="29">
        <v>9.052731481481481E-3</v>
      </c>
      <c r="S226" s="29">
        <v>9.0821875E-3</v>
      </c>
    </row>
    <row r="227" spans="1:19" ht="28.8" x14ac:dyDescent="0.3">
      <c r="A227">
        <v>222</v>
      </c>
      <c r="B227" s="23" t="s">
        <v>1029</v>
      </c>
      <c r="C227" s="29">
        <v>9.0932870370370369E-3</v>
      </c>
      <c r="D227" s="29">
        <v>9.1323958333333326E-3</v>
      </c>
      <c r="E227" t="b">
        <f t="shared" si="6"/>
        <v>1</v>
      </c>
      <c r="G227" t="b">
        <f t="shared" si="7"/>
        <v>0</v>
      </c>
      <c r="P227">
        <v>222</v>
      </c>
      <c r="Q227" s="23" t="s">
        <v>1029</v>
      </c>
      <c r="R227" s="29">
        <v>9.1048726851851846E-3</v>
      </c>
      <c r="S227" s="29">
        <v>9.1425231481481479E-3</v>
      </c>
    </row>
    <row r="228" spans="1:19" x14ac:dyDescent="0.3">
      <c r="A228">
        <v>223</v>
      </c>
      <c r="B228" s="23" t="s">
        <v>1030</v>
      </c>
      <c r="C228" s="29">
        <v>9.1328703703703711E-3</v>
      </c>
      <c r="D228" s="29">
        <v>9.155081018518519E-3</v>
      </c>
      <c r="E228" t="b">
        <f t="shared" si="6"/>
        <v>1</v>
      </c>
      <c r="G228" t="b">
        <f t="shared" si="7"/>
        <v>0</v>
      </c>
      <c r="P228">
        <v>223</v>
      </c>
      <c r="Q228" s="23" t="s">
        <v>1030</v>
      </c>
      <c r="R228" s="29">
        <v>9.1444560185185188E-3</v>
      </c>
      <c r="S228" s="30">
        <v>9.1666666666666667E-3</v>
      </c>
    </row>
    <row r="229" spans="1:19" x14ac:dyDescent="0.3">
      <c r="A229">
        <v>224</v>
      </c>
      <c r="B229" s="23" t="s">
        <v>1031</v>
      </c>
      <c r="C229" s="29">
        <v>9.1796990740740745E-3</v>
      </c>
      <c r="D229" s="29">
        <v>9.1985300925925932E-3</v>
      </c>
      <c r="E229" t="b">
        <f t="shared" si="6"/>
        <v>1</v>
      </c>
      <c r="G229" t="b">
        <f t="shared" si="7"/>
        <v>0</v>
      </c>
      <c r="P229">
        <v>224</v>
      </c>
      <c r="Q229" s="23" t="s">
        <v>1031</v>
      </c>
      <c r="R229" s="29">
        <v>9.1912847222222222E-3</v>
      </c>
      <c r="S229" s="29">
        <v>9.2086574074074085E-3</v>
      </c>
    </row>
    <row r="230" spans="1:19" x14ac:dyDescent="0.3">
      <c r="A230">
        <v>225</v>
      </c>
      <c r="B230" s="23" t="s">
        <v>1032</v>
      </c>
      <c r="C230" s="29">
        <v>9.1990046296296299E-3</v>
      </c>
      <c r="D230" s="29">
        <v>9.2337615740740748E-3</v>
      </c>
      <c r="E230" t="b">
        <f t="shared" si="6"/>
        <v>1</v>
      </c>
      <c r="G230" t="b">
        <f t="shared" si="7"/>
        <v>0</v>
      </c>
      <c r="P230">
        <v>225</v>
      </c>
      <c r="Q230" s="23" t="s">
        <v>1032</v>
      </c>
      <c r="R230" s="29">
        <v>9.2105787037037035E-3</v>
      </c>
      <c r="S230" s="29">
        <v>9.2453356481481484E-3</v>
      </c>
    </row>
    <row r="231" spans="1:19" x14ac:dyDescent="0.3">
      <c r="A231">
        <v>226</v>
      </c>
      <c r="B231" s="23" t="s">
        <v>1033</v>
      </c>
      <c r="C231" s="29">
        <v>9.2487268518518517E-3</v>
      </c>
      <c r="D231" s="29">
        <v>9.2839699074074074E-3</v>
      </c>
      <c r="E231" t="b">
        <f t="shared" si="6"/>
        <v>1</v>
      </c>
      <c r="G231" t="b">
        <f t="shared" si="7"/>
        <v>0</v>
      </c>
      <c r="P231">
        <v>226</v>
      </c>
      <c r="Q231" s="23" t="s">
        <v>1033</v>
      </c>
      <c r="R231" s="29">
        <v>9.2603124999999994E-3</v>
      </c>
      <c r="S231" s="29">
        <v>9.2941087962962951E-3</v>
      </c>
    </row>
    <row r="232" spans="1:19" x14ac:dyDescent="0.3">
      <c r="A232">
        <v>227</v>
      </c>
      <c r="B232" s="23" t="s">
        <v>1034</v>
      </c>
      <c r="C232" s="29">
        <v>9.2844560185185183E-3</v>
      </c>
      <c r="D232" s="29">
        <v>9.3076273148148137E-3</v>
      </c>
      <c r="E232" t="b">
        <f t="shared" si="6"/>
        <v>1</v>
      </c>
      <c r="G232" t="b">
        <f t="shared" si="7"/>
        <v>0</v>
      </c>
      <c r="P232">
        <v>227</v>
      </c>
      <c r="Q232" s="23" t="s">
        <v>1034</v>
      </c>
      <c r="R232" s="29">
        <v>9.2960300925925936E-3</v>
      </c>
      <c r="S232" s="29">
        <v>9.319201388888889E-3</v>
      </c>
    </row>
    <row r="233" spans="1:19" x14ac:dyDescent="0.3">
      <c r="A233">
        <v>228</v>
      </c>
      <c r="B233" s="23" t="s">
        <v>1035</v>
      </c>
      <c r="C233" s="29">
        <v>9.3211458333333323E-3</v>
      </c>
      <c r="D233" s="29">
        <v>9.3380324074074077E-3</v>
      </c>
      <c r="E233" t="b">
        <f t="shared" si="6"/>
        <v>1</v>
      </c>
      <c r="G233" t="b">
        <f t="shared" si="7"/>
        <v>0</v>
      </c>
      <c r="P233">
        <v>228</v>
      </c>
      <c r="Q233" s="23" t="s">
        <v>1035</v>
      </c>
      <c r="R233" s="29">
        <v>9.3327199074074076E-3</v>
      </c>
      <c r="S233" s="29">
        <v>9.3481712962962971E-3</v>
      </c>
    </row>
    <row r="234" spans="1:19" ht="28.8" x14ac:dyDescent="0.3">
      <c r="A234">
        <v>229</v>
      </c>
      <c r="B234" s="23" t="s">
        <v>1036</v>
      </c>
      <c r="C234" s="29">
        <v>9.3385185185185186E-3</v>
      </c>
      <c r="D234" s="29">
        <v>9.3766550925925927E-3</v>
      </c>
      <c r="E234" t="b">
        <f t="shared" si="6"/>
        <v>1</v>
      </c>
      <c r="G234" t="b">
        <f t="shared" si="7"/>
        <v>0</v>
      </c>
      <c r="P234">
        <v>229</v>
      </c>
      <c r="Q234" s="23" t="s">
        <v>1036</v>
      </c>
      <c r="R234" s="29">
        <v>9.350104166666668E-3</v>
      </c>
      <c r="S234" s="29">
        <v>9.3867939814814821E-3</v>
      </c>
    </row>
    <row r="235" spans="1:19" x14ac:dyDescent="0.3">
      <c r="A235">
        <v>230</v>
      </c>
      <c r="B235" s="23" t="s">
        <v>425</v>
      </c>
      <c r="C235" s="29">
        <v>9.3771412037037035E-3</v>
      </c>
      <c r="D235" s="29">
        <v>9.3901736111111113E-3</v>
      </c>
      <c r="E235" t="b">
        <f t="shared" si="6"/>
        <v>1</v>
      </c>
      <c r="G235" t="b">
        <f t="shared" si="7"/>
        <v>0</v>
      </c>
      <c r="P235">
        <v>230</v>
      </c>
      <c r="Q235" s="23" t="s">
        <v>425</v>
      </c>
      <c r="R235" s="29">
        <v>9.3887152777777771E-3</v>
      </c>
      <c r="S235" s="29">
        <v>9.401759259259259E-3</v>
      </c>
    </row>
    <row r="236" spans="1:19" ht="28.8" x14ac:dyDescent="0.3">
      <c r="A236">
        <v>231</v>
      </c>
      <c r="B236" s="23" t="s">
        <v>1037</v>
      </c>
      <c r="C236" s="29">
        <v>9.4278240740740728E-3</v>
      </c>
      <c r="D236" s="29">
        <v>9.4707870370370362E-3</v>
      </c>
      <c r="E236" t="b">
        <f t="shared" si="6"/>
        <v>1</v>
      </c>
      <c r="G236" t="b">
        <f t="shared" si="7"/>
        <v>0</v>
      </c>
      <c r="P236">
        <v>231</v>
      </c>
      <c r="Q236" s="23" t="s">
        <v>1037</v>
      </c>
      <c r="R236" s="29">
        <v>9.4394097222222223E-3</v>
      </c>
      <c r="S236" s="29">
        <v>9.4809259259259256E-3</v>
      </c>
    </row>
    <row r="237" spans="1:19" ht="28.8" x14ac:dyDescent="0.3">
      <c r="A237">
        <v>232</v>
      </c>
      <c r="B237" s="23" t="s">
        <v>1038</v>
      </c>
      <c r="C237" s="29">
        <v>9.4712731481481488E-3</v>
      </c>
      <c r="D237" s="29">
        <v>9.5224421296296307E-3</v>
      </c>
      <c r="E237" t="b">
        <f t="shared" si="6"/>
        <v>1</v>
      </c>
      <c r="G237" t="b">
        <f t="shared" si="7"/>
        <v>0</v>
      </c>
      <c r="P237">
        <v>232</v>
      </c>
      <c r="Q237" s="23" t="s">
        <v>1038</v>
      </c>
      <c r="R237" s="29">
        <v>9.4828587962962965E-3</v>
      </c>
      <c r="S237" s="29">
        <v>9.5325694444444442E-3</v>
      </c>
    </row>
    <row r="238" spans="1:19" x14ac:dyDescent="0.3">
      <c r="A238">
        <v>233</v>
      </c>
      <c r="B238" s="23" t="s">
        <v>1039</v>
      </c>
      <c r="C238" s="29">
        <v>9.5229282407407398E-3</v>
      </c>
      <c r="D238" s="29">
        <v>9.5523726851851863E-3</v>
      </c>
      <c r="E238" t="b">
        <f t="shared" si="6"/>
        <v>1</v>
      </c>
      <c r="G238" t="b">
        <f t="shared" si="7"/>
        <v>0</v>
      </c>
      <c r="P238">
        <v>233</v>
      </c>
      <c r="Q238" s="23" t="s">
        <v>1039</v>
      </c>
      <c r="R238" s="29">
        <v>9.5345023148148134E-3</v>
      </c>
      <c r="S238" s="29">
        <v>9.5624999999999998E-3</v>
      </c>
    </row>
    <row r="239" spans="1:19" x14ac:dyDescent="0.3">
      <c r="A239">
        <v>234</v>
      </c>
      <c r="B239" s="23" t="s">
        <v>1040</v>
      </c>
      <c r="C239" s="29">
        <v>9.5528587962962954E-3</v>
      </c>
      <c r="D239" s="29">
        <v>9.578923611111111E-3</v>
      </c>
      <c r="E239" t="b">
        <f t="shared" si="6"/>
        <v>1</v>
      </c>
      <c r="G239" t="b">
        <f t="shared" si="7"/>
        <v>0</v>
      </c>
      <c r="P239">
        <v>234</v>
      </c>
      <c r="Q239" s="23" t="s">
        <v>1040</v>
      </c>
      <c r="R239" s="29">
        <v>9.5644328703703707E-3</v>
      </c>
      <c r="S239" s="29">
        <v>9.5904976851851863E-3</v>
      </c>
    </row>
    <row r="240" spans="1:19" x14ac:dyDescent="0.3">
      <c r="A240">
        <v>235</v>
      </c>
      <c r="B240" s="23" t="s">
        <v>1041</v>
      </c>
      <c r="C240" s="29">
        <v>9.6160879629629634E-3</v>
      </c>
      <c r="D240" s="29">
        <v>9.6465046296296299E-3</v>
      </c>
      <c r="E240" t="b">
        <f t="shared" si="6"/>
        <v>1</v>
      </c>
      <c r="G240" t="b">
        <f t="shared" si="7"/>
        <v>0</v>
      </c>
      <c r="P240">
        <v>235</v>
      </c>
      <c r="Q240" s="23" t="s">
        <v>1041</v>
      </c>
      <c r="R240" s="29">
        <v>9.627662037037037E-3</v>
      </c>
      <c r="S240" s="29">
        <v>9.6580902777777793E-3</v>
      </c>
    </row>
    <row r="241" spans="1:19" x14ac:dyDescent="0.3">
      <c r="A241">
        <v>236</v>
      </c>
      <c r="B241" s="23" t="s">
        <v>1042</v>
      </c>
      <c r="C241" s="29">
        <v>9.7063657407407411E-3</v>
      </c>
      <c r="D241" s="29">
        <v>9.7353240740740733E-3</v>
      </c>
      <c r="E241" t="b">
        <f t="shared" si="6"/>
        <v>1</v>
      </c>
      <c r="G241" t="b">
        <f t="shared" si="7"/>
        <v>0</v>
      </c>
      <c r="P241">
        <v>236</v>
      </c>
      <c r="Q241" s="23" t="s">
        <v>1042</v>
      </c>
      <c r="R241" s="29">
        <v>9.7179398148148147E-3</v>
      </c>
      <c r="S241" s="29">
        <v>9.7469097222222228E-3</v>
      </c>
    </row>
    <row r="242" spans="1:19" x14ac:dyDescent="0.3">
      <c r="A242">
        <v>237</v>
      </c>
      <c r="B242" s="23" t="s">
        <v>1043</v>
      </c>
      <c r="C242" s="29">
        <v>9.750289351851852E-3</v>
      </c>
      <c r="D242" s="29">
        <v>9.7671874999999998E-3</v>
      </c>
      <c r="E242" t="b">
        <f t="shared" si="6"/>
        <v>1</v>
      </c>
      <c r="G242" t="b">
        <f t="shared" si="7"/>
        <v>0</v>
      </c>
      <c r="P242">
        <v>237</v>
      </c>
      <c r="Q242" s="23" t="s">
        <v>1043</v>
      </c>
      <c r="R242" s="29">
        <v>9.7618749999999997E-3</v>
      </c>
      <c r="S242" s="29">
        <v>9.7787731481481475E-3</v>
      </c>
    </row>
    <row r="243" spans="1:19" x14ac:dyDescent="0.3">
      <c r="A243">
        <v>238</v>
      </c>
      <c r="B243" s="23" t="s">
        <v>1044</v>
      </c>
      <c r="C243" s="29">
        <v>9.7990509259259263E-3</v>
      </c>
      <c r="D243" s="29">
        <v>9.8227083333333343E-3</v>
      </c>
      <c r="E243" t="b">
        <f t="shared" si="6"/>
        <v>1</v>
      </c>
      <c r="G243" t="b">
        <f t="shared" si="7"/>
        <v>0</v>
      </c>
      <c r="P243">
        <v>238</v>
      </c>
      <c r="Q243" s="23" t="s">
        <v>1044</v>
      </c>
      <c r="R243" s="29">
        <v>9.8106249999999999E-3</v>
      </c>
      <c r="S243" s="29">
        <v>9.8342824074074079E-3</v>
      </c>
    </row>
    <row r="244" spans="1:19" x14ac:dyDescent="0.3">
      <c r="A244">
        <v>239</v>
      </c>
      <c r="B244" s="23" t="s">
        <v>1045</v>
      </c>
      <c r="C244" s="29">
        <v>9.89462962962963E-3</v>
      </c>
      <c r="D244" s="29">
        <v>9.9168402777777779E-3</v>
      </c>
      <c r="E244" t="b">
        <f t="shared" si="6"/>
        <v>1</v>
      </c>
      <c r="G244" t="b">
        <f t="shared" si="7"/>
        <v>0</v>
      </c>
      <c r="P244">
        <v>239</v>
      </c>
      <c r="Q244" s="23" t="s">
        <v>1045</v>
      </c>
      <c r="R244" s="29">
        <v>9.9062152777777777E-3</v>
      </c>
      <c r="S244" s="29">
        <v>9.9284143518518532E-3</v>
      </c>
    </row>
    <row r="245" spans="1:19" x14ac:dyDescent="0.3">
      <c r="A245">
        <v>240</v>
      </c>
      <c r="B245" s="23" t="s">
        <v>1046</v>
      </c>
      <c r="C245" s="29">
        <v>9.9791087962962967E-3</v>
      </c>
      <c r="D245" s="29">
        <v>1.0008078703703703E-2</v>
      </c>
      <c r="E245" t="b">
        <f t="shared" si="6"/>
        <v>1</v>
      </c>
      <c r="G245" t="b">
        <f t="shared" si="7"/>
        <v>0</v>
      </c>
      <c r="P245">
        <v>240</v>
      </c>
      <c r="Q245" s="23" t="s">
        <v>1046</v>
      </c>
      <c r="R245" s="29">
        <v>9.9906944444444444E-3</v>
      </c>
      <c r="S245" s="29">
        <v>1.0019652777777778E-2</v>
      </c>
    </row>
    <row r="246" spans="1:19" ht="28.8" x14ac:dyDescent="0.3">
      <c r="A246">
        <v>241</v>
      </c>
      <c r="B246" s="23" t="s">
        <v>1047</v>
      </c>
      <c r="C246" s="29">
        <v>1.0027384259259258E-2</v>
      </c>
      <c r="D246" s="29">
        <v>1.007951388888889E-2</v>
      </c>
      <c r="E246" t="b">
        <f t="shared" si="6"/>
        <v>1</v>
      </c>
      <c r="G246" t="b">
        <f t="shared" si="7"/>
        <v>0</v>
      </c>
      <c r="P246">
        <v>241</v>
      </c>
      <c r="Q246" s="23" t="s">
        <v>1047</v>
      </c>
      <c r="R246" s="29">
        <v>1.0038969907407406E-2</v>
      </c>
      <c r="S246" s="29">
        <v>1.0089652777777777E-2</v>
      </c>
    </row>
    <row r="247" spans="1:19" x14ac:dyDescent="0.3">
      <c r="A247">
        <v>242</v>
      </c>
      <c r="B247" s="23" t="s">
        <v>1048</v>
      </c>
      <c r="C247" s="29">
        <v>1.008E-2</v>
      </c>
      <c r="D247" s="29">
        <v>1.0109444444444445E-2</v>
      </c>
      <c r="E247" t="b">
        <f t="shared" si="6"/>
        <v>1</v>
      </c>
      <c r="G247" t="b">
        <f t="shared" si="7"/>
        <v>0</v>
      </c>
      <c r="P247">
        <v>242</v>
      </c>
      <c r="Q247" s="23" t="s">
        <v>1048</v>
      </c>
      <c r="R247" s="29">
        <v>1.0091585648148148E-2</v>
      </c>
      <c r="S247" s="29">
        <v>1.0119583333333333E-2</v>
      </c>
    </row>
    <row r="248" spans="1:19" ht="28.8" x14ac:dyDescent="0.3">
      <c r="A248">
        <v>243</v>
      </c>
      <c r="B248" s="23" t="s">
        <v>1049</v>
      </c>
      <c r="C248" s="29">
        <v>1.0109930555555556E-2</v>
      </c>
      <c r="D248" s="29">
        <v>1.0158206018518518E-2</v>
      </c>
      <c r="E248" t="b">
        <f t="shared" si="6"/>
        <v>1</v>
      </c>
      <c r="G248" t="b">
        <f t="shared" si="7"/>
        <v>0</v>
      </c>
      <c r="P248">
        <v>243</v>
      </c>
      <c r="Q248" s="23" t="s">
        <v>1049</v>
      </c>
      <c r="R248" s="29">
        <v>1.0121516203703704E-2</v>
      </c>
      <c r="S248" s="29">
        <v>1.0168333333333333E-2</v>
      </c>
    </row>
    <row r="249" spans="1:19" x14ac:dyDescent="0.3">
      <c r="A249">
        <v>244</v>
      </c>
      <c r="B249" s="23" t="s">
        <v>1050</v>
      </c>
      <c r="C249" s="29">
        <v>1.015869212962963E-2</v>
      </c>
      <c r="D249" s="29">
        <v>1.0188622685185186E-2</v>
      </c>
      <c r="E249" t="b">
        <f t="shared" si="6"/>
        <v>1</v>
      </c>
      <c r="G249" t="b">
        <f t="shared" si="7"/>
        <v>0</v>
      </c>
      <c r="P249">
        <v>244</v>
      </c>
      <c r="Q249" s="23" t="s">
        <v>1050</v>
      </c>
      <c r="R249" s="29">
        <v>1.0170266203703704E-2</v>
      </c>
      <c r="S249" s="29">
        <v>1.020019675925926E-2</v>
      </c>
    </row>
    <row r="250" spans="1:19" ht="28.8" x14ac:dyDescent="0.3">
      <c r="A250">
        <v>245</v>
      </c>
      <c r="B250" s="23" t="s">
        <v>1051</v>
      </c>
      <c r="C250" s="29">
        <v>1.0196828703703703E-2</v>
      </c>
      <c r="D250" s="29">
        <v>1.0231585648148148E-2</v>
      </c>
      <c r="E250" t="b">
        <f t="shared" si="6"/>
        <v>1</v>
      </c>
      <c r="G250" t="b">
        <f t="shared" si="7"/>
        <v>0</v>
      </c>
      <c r="P250">
        <v>245</v>
      </c>
      <c r="Q250" s="23" t="s">
        <v>1051</v>
      </c>
      <c r="R250" s="29">
        <v>1.0208402777777778E-2</v>
      </c>
      <c r="S250" s="29">
        <v>1.0243159722222223E-2</v>
      </c>
    </row>
    <row r="251" spans="1:19" x14ac:dyDescent="0.3">
      <c r="A251">
        <v>246</v>
      </c>
      <c r="B251" s="23" t="s">
        <v>1052</v>
      </c>
      <c r="C251" s="29">
        <v>1.0236412037037037E-2</v>
      </c>
      <c r="D251" s="29">
        <v>1.0269236111111111E-2</v>
      </c>
      <c r="E251" t="b">
        <f t="shared" si="6"/>
        <v>1</v>
      </c>
      <c r="G251" t="b">
        <f t="shared" si="7"/>
        <v>0</v>
      </c>
      <c r="P251">
        <v>246</v>
      </c>
      <c r="Q251" s="23" t="s">
        <v>1052</v>
      </c>
      <c r="R251" s="29">
        <v>1.0247986111111112E-2</v>
      </c>
      <c r="S251" s="29">
        <v>1.0280810185185184E-2</v>
      </c>
    </row>
    <row r="252" spans="1:19" x14ac:dyDescent="0.3">
      <c r="A252">
        <v>247</v>
      </c>
      <c r="B252" s="23" t="s">
        <v>1053</v>
      </c>
      <c r="C252" s="29">
        <v>1.0274548611111111E-2</v>
      </c>
      <c r="D252" s="29">
        <v>1.0296273148148148E-2</v>
      </c>
      <c r="E252" t="b">
        <f t="shared" si="6"/>
        <v>1</v>
      </c>
      <c r="G252" t="b">
        <f t="shared" si="7"/>
        <v>0</v>
      </c>
      <c r="P252">
        <v>247</v>
      </c>
      <c r="Q252" s="23" t="s">
        <v>1053</v>
      </c>
      <c r="R252" s="29">
        <v>1.0286122685185185E-2</v>
      </c>
      <c r="S252" s="29">
        <v>1.0306400462962962E-2</v>
      </c>
    </row>
    <row r="253" spans="1:19" x14ac:dyDescent="0.3">
      <c r="A253">
        <v>248</v>
      </c>
      <c r="B253" s="23" t="s">
        <v>1054</v>
      </c>
      <c r="C253" s="29">
        <v>1.0296747685185185E-2</v>
      </c>
      <c r="D253" s="29">
        <v>1.0317511574074074E-2</v>
      </c>
      <c r="E253" t="b">
        <f t="shared" si="6"/>
        <v>1</v>
      </c>
      <c r="G253" t="b">
        <f t="shared" si="7"/>
        <v>0</v>
      </c>
      <c r="P253">
        <v>248</v>
      </c>
      <c r="Q253" s="23" t="s">
        <v>1054</v>
      </c>
      <c r="R253" s="29">
        <v>1.0308333333333333E-2</v>
      </c>
      <c r="S253" s="29">
        <v>1.0329085648148148E-2</v>
      </c>
    </row>
    <row r="254" spans="1:19" ht="28.8" x14ac:dyDescent="0.3">
      <c r="A254">
        <v>249</v>
      </c>
      <c r="B254" s="23" t="s">
        <v>1055</v>
      </c>
      <c r="C254" s="29">
        <v>1.0328125E-2</v>
      </c>
      <c r="D254" s="29">
        <v>1.0373993055555555E-2</v>
      </c>
      <c r="E254" t="b">
        <f t="shared" si="6"/>
        <v>1</v>
      </c>
      <c r="G254" t="b">
        <f t="shared" si="7"/>
        <v>0</v>
      </c>
      <c r="P254">
        <v>249</v>
      </c>
      <c r="Q254" s="23" t="s">
        <v>1055</v>
      </c>
      <c r="R254" s="29">
        <v>1.0339710648148148E-2</v>
      </c>
      <c r="S254" s="29">
        <v>1.038412037037037E-2</v>
      </c>
    </row>
    <row r="255" spans="1:19" ht="28.8" x14ac:dyDescent="0.3">
      <c r="A255">
        <v>250</v>
      </c>
      <c r="B255" s="23" t="s">
        <v>1056</v>
      </c>
      <c r="C255" s="29">
        <v>1.0374467592592593E-2</v>
      </c>
      <c r="D255" s="29">
        <v>1.0421782407407407E-2</v>
      </c>
      <c r="E255" t="b">
        <f t="shared" si="6"/>
        <v>1</v>
      </c>
      <c r="G255" t="b">
        <f t="shared" si="7"/>
        <v>0</v>
      </c>
      <c r="P255">
        <v>250</v>
      </c>
      <c r="Q255" s="23" t="s">
        <v>1056</v>
      </c>
      <c r="R255" s="29">
        <v>1.0386053240740741E-2</v>
      </c>
      <c r="S255" s="29">
        <v>1.0433356481481481E-2</v>
      </c>
    </row>
    <row r="256" spans="1:19" x14ac:dyDescent="0.3">
      <c r="A256">
        <v>251</v>
      </c>
      <c r="B256" s="23" t="s">
        <v>1057</v>
      </c>
      <c r="C256" s="29">
        <v>1.0431921296296297E-2</v>
      </c>
      <c r="D256" s="29">
        <v>1.0451226851851852E-2</v>
      </c>
      <c r="E256" t="b">
        <f t="shared" si="6"/>
        <v>1</v>
      </c>
      <c r="G256" t="b">
        <f t="shared" si="7"/>
        <v>0</v>
      </c>
      <c r="P256">
        <v>251</v>
      </c>
      <c r="Q256" s="23" t="s">
        <v>1057</v>
      </c>
      <c r="R256" s="29">
        <v>1.044349537037037E-2</v>
      </c>
      <c r="S256" s="29">
        <v>1.0462800925925926E-2</v>
      </c>
    </row>
    <row r="257" spans="1:19" ht="28.8" x14ac:dyDescent="0.3">
      <c r="A257">
        <v>252</v>
      </c>
      <c r="B257" s="23" t="s">
        <v>1058</v>
      </c>
      <c r="C257" s="29">
        <v>1.0493229166666666E-2</v>
      </c>
      <c r="D257" s="29">
        <v>1.0536666666666666E-2</v>
      </c>
      <c r="E257" t="b">
        <f t="shared" si="6"/>
        <v>1</v>
      </c>
      <c r="G257" t="b">
        <f t="shared" si="7"/>
        <v>0</v>
      </c>
      <c r="P257">
        <v>252</v>
      </c>
      <c r="Q257" s="23" t="s">
        <v>1058</v>
      </c>
      <c r="R257" s="29">
        <v>1.0504803240740742E-2</v>
      </c>
      <c r="S257" s="29">
        <v>1.0546805555555556E-2</v>
      </c>
    </row>
    <row r="258" spans="1:19" ht="28.8" x14ac:dyDescent="0.3">
      <c r="A258">
        <v>253</v>
      </c>
      <c r="B258" s="23" t="s">
        <v>1059</v>
      </c>
      <c r="C258" s="29">
        <v>1.0537152777777777E-2</v>
      </c>
      <c r="D258" s="29">
        <v>1.0577696759259259E-2</v>
      </c>
      <c r="E258" t="b">
        <f t="shared" si="6"/>
        <v>1</v>
      </c>
      <c r="G258" t="b">
        <f t="shared" si="7"/>
        <v>0</v>
      </c>
      <c r="P258">
        <v>253</v>
      </c>
      <c r="Q258" s="23" t="s">
        <v>1059</v>
      </c>
      <c r="R258" s="29">
        <v>1.0548738425925925E-2</v>
      </c>
      <c r="S258" s="29">
        <v>1.0587835648148148E-2</v>
      </c>
    </row>
    <row r="259" spans="1:19" x14ac:dyDescent="0.3">
      <c r="A259">
        <v>254</v>
      </c>
      <c r="B259" s="23" t="s">
        <v>1060</v>
      </c>
      <c r="C259" s="29">
        <v>1.0578182870370371E-2</v>
      </c>
      <c r="D259" s="29">
        <v>1.0603773148148149E-2</v>
      </c>
      <c r="E259" t="b">
        <f t="shared" si="6"/>
        <v>1</v>
      </c>
      <c r="G259" t="b">
        <f t="shared" si="7"/>
        <v>0</v>
      </c>
      <c r="P259">
        <v>254</v>
      </c>
      <c r="Q259" s="23" t="s">
        <v>1060</v>
      </c>
      <c r="R259" s="29">
        <v>1.0589768518518519E-2</v>
      </c>
      <c r="S259" s="29">
        <v>1.0613900462962964E-2</v>
      </c>
    </row>
    <row r="260" spans="1:19" x14ac:dyDescent="0.3">
      <c r="A260">
        <v>255</v>
      </c>
      <c r="B260" s="23" t="s">
        <v>1061</v>
      </c>
      <c r="C260" s="29">
        <v>1.0604247685185185E-2</v>
      </c>
      <c r="D260" s="29">
        <v>1.0629351851851852E-2</v>
      </c>
      <c r="E260" t="b">
        <f t="shared" si="6"/>
        <v>1</v>
      </c>
      <c r="G260" t="b">
        <f t="shared" si="7"/>
        <v>0</v>
      </c>
      <c r="P260">
        <v>255</v>
      </c>
      <c r="Q260" s="23" t="s">
        <v>1061</v>
      </c>
      <c r="R260" s="29">
        <v>1.0615833333333333E-2</v>
      </c>
      <c r="S260" s="29">
        <v>1.0639490740740741E-2</v>
      </c>
    </row>
    <row r="261" spans="1:19" ht="28.8" x14ac:dyDescent="0.3">
      <c r="A261">
        <v>256</v>
      </c>
      <c r="B261" s="23" t="s">
        <v>1062</v>
      </c>
      <c r="C261" s="29">
        <v>1.0629837962962962E-2</v>
      </c>
      <c r="D261" s="29">
        <v>1.0683425925925926E-2</v>
      </c>
      <c r="E261" t="b">
        <f t="shared" si="6"/>
        <v>1</v>
      </c>
      <c r="G261" t="b">
        <f t="shared" si="7"/>
        <v>0</v>
      </c>
      <c r="P261">
        <v>256</v>
      </c>
      <c r="Q261" s="23" t="s">
        <v>1062</v>
      </c>
      <c r="R261" s="29">
        <v>1.064142361111111E-2</v>
      </c>
      <c r="S261" s="29">
        <v>1.0695E-2</v>
      </c>
    </row>
    <row r="262" spans="1:19" x14ac:dyDescent="0.3">
      <c r="A262">
        <v>257</v>
      </c>
      <c r="B262" s="23" t="s">
        <v>1063</v>
      </c>
      <c r="C262" s="29">
        <v>1.0699837962962963E-2</v>
      </c>
      <c r="D262" s="29">
        <v>1.0721076388888889E-2</v>
      </c>
      <c r="E262" t="b">
        <f t="shared" ref="E262:E325" si="8">B262=Q262</f>
        <v>1</v>
      </c>
      <c r="G262" t="b">
        <f t="shared" ref="G262:G325" si="9">C262=R262</f>
        <v>0</v>
      </c>
      <c r="P262">
        <v>257</v>
      </c>
      <c r="Q262" s="23" t="s">
        <v>1063</v>
      </c>
      <c r="R262" s="29">
        <v>1.0711412037037037E-2</v>
      </c>
      <c r="S262" s="29">
        <v>1.0732650462962963E-2</v>
      </c>
    </row>
    <row r="263" spans="1:19" ht="28.8" x14ac:dyDescent="0.3">
      <c r="A263">
        <v>258</v>
      </c>
      <c r="B263" s="23" t="s">
        <v>1064</v>
      </c>
      <c r="C263" s="29">
        <v>1.0745208333333332E-2</v>
      </c>
      <c r="D263" s="29">
        <v>1.0781898148148148E-2</v>
      </c>
      <c r="E263" t="b">
        <f t="shared" si="8"/>
        <v>1</v>
      </c>
      <c r="G263" t="b">
        <f t="shared" si="9"/>
        <v>0</v>
      </c>
      <c r="P263">
        <v>258</v>
      </c>
      <c r="Q263" s="23" t="s">
        <v>1064</v>
      </c>
      <c r="R263" s="29">
        <v>1.075679398148148E-2</v>
      </c>
      <c r="S263" s="29">
        <v>1.0793483796296296E-2</v>
      </c>
    </row>
    <row r="264" spans="1:19" x14ac:dyDescent="0.3">
      <c r="A264">
        <v>259</v>
      </c>
      <c r="B264" s="23" t="s">
        <v>1065</v>
      </c>
      <c r="C264" s="29">
        <v>1.0837893518518519E-2</v>
      </c>
      <c r="D264" s="29">
        <v>1.0858171296296296E-2</v>
      </c>
      <c r="E264" t="b">
        <f t="shared" si="8"/>
        <v>1</v>
      </c>
      <c r="G264" t="b">
        <f t="shared" si="9"/>
        <v>0</v>
      </c>
      <c r="P264">
        <v>259</v>
      </c>
      <c r="Q264" s="23" t="s">
        <v>1065</v>
      </c>
      <c r="R264" s="29">
        <v>1.0849479166666667E-2</v>
      </c>
      <c r="S264" s="29">
        <v>1.0869756944444446E-2</v>
      </c>
    </row>
    <row r="265" spans="1:19" x14ac:dyDescent="0.3">
      <c r="A265">
        <v>260</v>
      </c>
      <c r="B265" s="23" t="s">
        <v>1066</v>
      </c>
      <c r="C265" s="29">
        <v>1.0879895833333333E-2</v>
      </c>
      <c r="D265" s="29">
        <v>1.0895347222222221E-2</v>
      </c>
      <c r="E265" t="b">
        <f t="shared" si="8"/>
        <v>1</v>
      </c>
      <c r="G265" t="b">
        <f t="shared" si="9"/>
        <v>0</v>
      </c>
      <c r="P265">
        <v>260</v>
      </c>
      <c r="Q265" s="23" t="s">
        <v>1066</v>
      </c>
      <c r="R265" s="29">
        <v>1.0891469907407407E-2</v>
      </c>
      <c r="S265" s="29">
        <v>1.0905474537037036E-2</v>
      </c>
    </row>
    <row r="266" spans="1:19" x14ac:dyDescent="0.3">
      <c r="A266">
        <v>261</v>
      </c>
      <c r="B266" s="23" t="s">
        <v>1067</v>
      </c>
      <c r="C266" s="29">
        <v>1.089582175925926E-2</v>
      </c>
      <c r="D266" s="29">
        <v>1.0921412037037037E-2</v>
      </c>
      <c r="E266" t="b">
        <f t="shared" si="8"/>
        <v>1</v>
      </c>
      <c r="G266" t="b">
        <f t="shared" si="9"/>
        <v>0</v>
      </c>
      <c r="P266">
        <v>261</v>
      </c>
      <c r="Q266" s="23" t="s">
        <v>1067</v>
      </c>
      <c r="R266" s="29">
        <v>1.0907407407407407E-2</v>
      </c>
      <c r="S266" s="29">
        <v>1.0932986111111112E-2</v>
      </c>
    </row>
    <row r="267" spans="1:19" x14ac:dyDescent="0.3">
      <c r="A267">
        <v>262</v>
      </c>
      <c r="B267" s="23" t="s">
        <v>1068</v>
      </c>
      <c r="C267" s="29">
        <v>1.0963888888888889E-2</v>
      </c>
      <c r="D267" s="29">
        <v>1.0990439814814814E-2</v>
      </c>
      <c r="E267" t="b">
        <f t="shared" si="8"/>
        <v>1</v>
      </c>
      <c r="G267" t="b">
        <f t="shared" si="9"/>
        <v>0</v>
      </c>
      <c r="P267">
        <v>262</v>
      </c>
      <c r="Q267" s="23" t="s">
        <v>1068</v>
      </c>
      <c r="R267" s="29">
        <v>1.0975474537037037E-2</v>
      </c>
      <c r="S267" s="29">
        <v>1.1002025462962963E-2</v>
      </c>
    </row>
    <row r="268" spans="1:19" ht="28.8" x14ac:dyDescent="0.3">
      <c r="A268">
        <v>263</v>
      </c>
      <c r="B268" s="23" t="s">
        <v>1069</v>
      </c>
      <c r="C268" s="29">
        <v>1.0999618055555556E-2</v>
      </c>
      <c r="D268" s="29">
        <v>1.1054166666666667E-2</v>
      </c>
      <c r="E268" t="b">
        <f t="shared" si="8"/>
        <v>1</v>
      </c>
      <c r="G268" t="b">
        <f t="shared" si="9"/>
        <v>0</v>
      </c>
      <c r="P268">
        <v>263</v>
      </c>
      <c r="Q268" s="23" t="s">
        <v>1069</v>
      </c>
      <c r="R268" s="29">
        <v>1.1011192129629629E-2</v>
      </c>
      <c r="S268" s="29">
        <v>1.1065740740740741E-2</v>
      </c>
    </row>
    <row r="269" spans="1:19" x14ac:dyDescent="0.3">
      <c r="A269">
        <v>264</v>
      </c>
      <c r="B269" s="23" t="s">
        <v>1070</v>
      </c>
      <c r="C269" s="29">
        <v>1.107829861111111E-2</v>
      </c>
      <c r="D269" s="29">
        <v>1.1116921296296295E-2</v>
      </c>
      <c r="E269" t="b">
        <f t="shared" si="8"/>
        <v>1</v>
      </c>
      <c r="G269" t="b">
        <f t="shared" si="9"/>
        <v>0</v>
      </c>
      <c r="P269">
        <v>264</v>
      </c>
      <c r="Q269" s="23" t="s">
        <v>1070</v>
      </c>
      <c r="R269" s="29">
        <v>1.1089884259259259E-2</v>
      </c>
      <c r="S269" s="29">
        <v>1.112849537037037E-2</v>
      </c>
    </row>
    <row r="270" spans="1:19" x14ac:dyDescent="0.3">
      <c r="A270">
        <v>265</v>
      </c>
      <c r="B270" s="23" t="s">
        <v>1071</v>
      </c>
      <c r="C270" s="29">
        <v>1.1121261574074073E-2</v>
      </c>
      <c r="D270" s="29">
        <v>1.115457175925926E-2</v>
      </c>
      <c r="E270" t="b">
        <f t="shared" si="8"/>
        <v>1</v>
      </c>
      <c r="G270" t="b">
        <f t="shared" si="9"/>
        <v>0</v>
      </c>
      <c r="P270">
        <v>265</v>
      </c>
      <c r="Q270" s="23" t="s">
        <v>1071</v>
      </c>
      <c r="R270" s="29">
        <v>1.1132847222222223E-2</v>
      </c>
      <c r="S270" s="29">
        <v>1.1166145833333333E-2</v>
      </c>
    </row>
    <row r="271" spans="1:19" x14ac:dyDescent="0.3">
      <c r="A271">
        <v>266</v>
      </c>
      <c r="B271" s="23" t="s">
        <v>1072</v>
      </c>
      <c r="C271" s="29">
        <v>1.1162291666666668E-2</v>
      </c>
      <c r="D271" s="29">
        <v>1.1204780092592593E-2</v>
      </c>
      <c r="E271" t="b">
        <f t="shared" si="8"/>
        <v>1</v>
      </c>
      <c r="G271" t="b">
        <f t="shared" si="9"/>
        <v>0</v>
      </c>
      <c r="P271">
        <v>266</v>
      </c>
      <c r="Q271" s="23" t="s">
        <v>1072</v>
      </c>
      <c r="R271" s="29">
        <v>1.1173877314814815E-2</v>
      </c>
      <c r="S271" s="29">
        <v>1.1216354166666666E-2</v>
      </c>
    </row>
    <row r="272" spans="1:19" x14ac:dyDescent="0.3">
      <c r="A272">
        <v>267</v>
      </c>
      <c r="B272" s="23" t="s">
        <v>1073</v>
      </c>
      <c r="C272" s="29">
        <v>1.12125E-2</v>
      </c>
      <c r="D272" s="29">
        <v>1.1243391203703703E-2</v>
      </c>
      <c r="E272" t="b">
        <f t="shared" si="8"/>
        <v>1</v>
      </c>
      <c r="G272" t="b">
        <f t="shared" si="9"/>
        <v>0</v>
      </c>
      <c r="P272">
        <v>267</v>
      </c>
      <c r="Q272" s="23" t="s">
        <v>1073</v>
      </c>
      <c r="R272" s="29">
        <v>1.1224074074074074E-2</v>
      </c>
      <c r="S272" s="29">
        <v>1.1254976851851851E-2</v>
      </c>
    </row>
    <row r="273" spans="1:19" ht="28.8" x14ac:dyDescent="0.3">
      <c r="A273">
        <v>268</v>
      </c>
      <c r="B273" s="23" t="s">
        <v>1074</v>
      </c>
      <c r="C273" s="29">
        <v>1.1254502314814814E-2</v>
      </c>
      <c r="D273" s="29">
        <v>1.1284421296296298E-2</v>
      </c>
      <c r="E273" t="b">
        <f t="shared" si="8"/>
        <v>1</v>
      </c>
      <c r="G273" t="b">
        <f t="shared" si="9"/>
        <v>0</v>
      </c>
      <c r="P273">
        <v>268</v>
      </c>
      <c r="Q273" s="23" t="s">
        <v>1074</v>
      </c>
      <c r="R273" s="29">
        <v>1.126607638888889E-2</v>
      </c>
      <c r="S273" s="29">
        <v>1.1294560185185185E-2</v>
      </c>
    </row>
    <row r="274" spans="1:19" ht="28.8" x14ac:dyDescent="0.3">
      <c r="A274">
        <v>269</v>
      </c>
      <c r="B274" s="23" t="s">
        <v>1075</v>
      </c>
      <c r="C274" s="29">
        <v>1.1284907407407407E-2</v>
      </c>
      <c r="D274" s="29">
        <v>1.1324490740740741E-2</v>
      </c>
      <c r="E274" t="b">
        <f t="shared" si="8"/>
        <v>1</v>
      </c>
      <c r="G274" t="b">
        <f t="shared" si="9"/>
        <v>0</v>
      </c>
      <c r="P274">
        <v>269</v>
      </c>
      <c r="Q274" s="23" t="s">
        <v>1075</v>
      </c>
      <c r="R274" s="29">
        <v>1.1296493055555556E-2</v>
      </c>
      <c r="S274" s="29">
        <v>1.1336076388888889E-2</v>
      </c>
    </row>
    <row r="275" spans="1:19" ht="28.8" x14ac:dyDescent="0.3">
      <c r="A275">
        <v>270</v>
      </c>
      <c r="B275" s="23" t="s">
        <v>1076</v>
      </c>
      <c r="C275" s="29">
        <v>1.1352488425925926E-2</v>
      </c>
      <c r="D275" s="29">
        <v>1.138579861111111E-2</v>
      </c>
      <c r="E275" t="b">
        <f t="shared" si="8"/>
        <v>1</v>
      </c>
      <c r="G275" t="b">
        <f t="shared" si="9"/>
        <v>0</v>
      </c>
      <c r="P275">
        <v>270</v>
      </c>
      <c r="Q275" s="23" t="s">
        <v>1076</v>
      </c>
      <c r="R275" s="29">
        <v>1.1364074074074073E-2</v>
      </c>
      <c r="S275" s="29">
        <v>1.13959375E-2</v>
      </c>
    </row>
    <row r="276" spans="1:19" x14ac:dyDescent="0.3">
      <c r="A276">
        <v>271</v>
      </c>
      <c r="B276" s="23" t="s">
        <v>1077</v>
      </c>
      <c r="C276" s="29">
        <v>1.1386284722222221E-2</v>
      </c>
      <c r="D276" s="29">
        <v>1.1407037037037037E-2</v>
      </c>
      <c r="E276" t="b">
        <f t="shared" si="8"/>
        <v>1</v>
      </c>
      <c r="G276" t="b">
        <f t="shared" si="9"/>
        <v>0</v>
      </c>
      <c r="P276">
        <v>271</v>
      </c>
      <c r="Q276" s="23" t="s">
        <v>1077</v>
      </c>
      <c r="R276" s="29">
        <v>1.1397858796296297E-2</v>
      </c>
      <c r="S276" s="29">
        <v>1.1416689814814815E-2</v>
      </c>
    </row>
    <row r="277" spans="1:19" ht="28.8" x14ac:dyDescent="0.3">
      <c r="A277">
        <v>272</v>
      </c>
      <c r="B277" s="23" t="s">
        <v>1078</v>
      </c>
      <c r="C277" s="29">
        <v>1.1407523148148148E-2</v>
      </c>
      <c r="D277" s="29">
        <v>1.1470277777777779E-2</v>
      </c>
      <c r="E277" t="b">
        <f t="shared" si="8"/>
        <v>1</v>
      </c>
      <c r="G277" t="b">
        <f t="shared" si="9"/>
        <v>0</v>
      </c>
      <c r="P277">
        <v>272</v>
      </c>
      <c r="Q277" s="23" t="s">
        <v>1078</v>
      </c>
      <c r="R277" s="29">
        <v>1.1419108796296297E-2</v>
      </c>
      <c r="S277" s="29">
        <v>1.1481863425925927E-2</v>
      </c>
    </row>
    <row r="278" spans="1:19" x14ac:dyDescent="0.3">
      <c r="A278">
        <v>273</v>
      </c>
      <c r="B278" s="23" t="s">
        <v>1079</v>
      </c>
      <c r="C278" s="29">
        <v>1.1477523148148148E-2</v>
      </c>
      <c r="D278" s="29">
        <v>1.150648148148148E-2</v>
      </c>
      <c r="E278" t="b">
        <f t="shared" si="8"/>
        <v>1</v>
      </c>
      <c r="G278" t="b">
        <f t="shared" si="9"/>
        <v>0</v>
      </c>
      <c r="P278">
        <v>273</v>
      </c>
      <c r="Q278" s="23" t="s">
        <v>1079</v>
      </c>
      <c r="R278" s="29">
        <v>1.1489097222222222E-2</v>
      </c>
      <c r="S278" s="29">
        <v>1.1516620370370372E-2</v>
      </c>
    </row>
    <row r="279" spans="1:19" x14ac:dyDescent="0.3">
      <c r="A279">
        <v>274</v>
      </c>
      <c r="B279" s="23" t="s">
        <v>1080</v>
      </c>
      <c r="C279" s="29">
        <v>1.1506967592592593E-2</v>
      </c>
      <c r="D279" s="29">
        <v>1.1532071759259259E-2</v>
      </c>
      <c r="E279" t="b">
        <f t="shared" si="8"/>
        <v>1</v>
      </c>
      <c r="G279" t="b">
        <f t="shared" si="9"/>
        <v>0</v>
      </c>
      <c r="P279">
        <v>274</v>
      </c>
      <c r="Q279" s="23" t="s">
        <v>1080</v>
      </c>
      <c r="R279" s="29">
        <v>1.1518553240740741E-2</v>
      </c>
      <c r="S279" s="29">
        <v>1.1542199074074075E-2</v>
      </c>
    </row>
    <row r="280" spans="1:19" ht="28.8" x14ac:dyDescent="0.3">
      <c r="A280">
        <v>275</v>
      </c>
      <c r="B280" s="23" t="s">
        <v>1081</v>
      </c>
      <c r="C280" s="29">
        <v>1.153255787037037E-2</v>
      </c>
      <c r="D280" s="30">
        <v>1.1585648148148149E-2</v>
      </c>
      <c r="E280" t="b">
        <f t="shared" si="8"/>
        <v>1</v>
      </c>
      <c r="G280" t="b">
        <f t="shared" si="9"/>
        <v>0</v>
      </c>
      <c r="P280">
        <v>275</v>
      </c>
      <c r="Q280" s="23" t="s">
        <v>1081</v>
      </c>
      <c r="R280" s="29">
        <v>1.1544131944444445E-2</v>
      </c>
      <c r="S280" s="29">
        <v>1.1595787037037036E-2</v>
      </c>
    </row>
    <row r="281" spans="1:19" x14ac:dyDescent="0.3">
      <c r="A281">
        <v>276</v>
      </c>
      <c r="B281" s="23" t="s">
        <v>1082</v>
      </c>
      <c r="C281" s="29">
        <v>1.158613425925926E-2</v>
      </c>
      <c r="D281" s="29">
        <v>1.1633923611111112E-2</v>
      </c>
      <c r="E281" t="b">
        <f t="shared" si="8"/>
        <v>1</v>
      </c>
      <c r="G281" t="b">
        <f t="shared" si="9"/>
        <v>0</v>
      </c>
      <c r="P281">
        <v>276</v>
      </c>
      <c r="Q281" s="23" t="s">
        <v>1082</v>
      </c>
      <c r="R281" s="29">
        <v>1.1597719907407407E-2</v>
      </c>
      <c r="S281" s="29">
        <v>1.16440625E-2</v>
      </c>
    </row>
    <row r="282" spans="1:19" x14ac:dyDescent="0.3">
      <c r="A282">
        <v>277</v>
      </c>
      <c r="B282" s="23" t="s">
        <v>1083</v>
      </c>
      <c r="C282" s="29">
        <v>1.1634409722222221E-2</v>
      </c>
      <c r="D282" s="29">
        <v>1.1659513888888888E-2</v>
      </c>
      <c r="E282" t="b">
        <f t="shared" si="8"/>
        <v>1</v>
      </c>
      <c r="G282" t="b">
        <f t="shared" si="9"/>
        <v>0</v>
      </c>
      <c r="P282">
        <v>277</v>
      </c>
      <c r="Q282" s="23" t="s">
        <v>1083</v>
      </c>
      <c r="R282" s="29">
        <v>1.1645995370370369E-2</v>
      </c>
      <c r="S282" s="29">
        <v>1.1671087962962963E-2</v>
      </c>
    </row>
    <row r="283" spans="1:19" x14ac:dyDescent="0.3">
      <c r="A283">
        <v>278</v>
      </c>
      <c r="B283" s="23" t="s">
        <v>1084</v>
      </c>
      <c r="C283" s="29">
        <v>1.1714062500000001E-2</v>
      </c>
      <c r="D283" s="29">
        <v>1.1742546296296296E-2</v>
      </c>
      <c r="E283" t="b">
        <f t="shared" si="8"/>
        <v>1</v>
      </c>
      <c r="G283" t="b">
        <f t="shared" si="9"/>
        <v>0</v>
      </c>
      <c r="P283">
        <v>278</v>
      </c>
      <c r="Q283" s="23" t="s">
        <v>1084</v>
      </c>
      <c r="R283" s="29">
        <v>1.1725636574074074E-2</v>
      </c>
      <c r="S283" s="29">
        <v>1.1754120370370371E-2</v>
      </c>
    </row>
    <row r="284" spans="1:19" x14ac:dyDescent="0.3">
      <c r="A284">
        <v>279</v>
      </c>
      <c r="B284" s="23" t="s">
        <v>1085</v>
      </c>
      <c r="C284" s="29">
        <v>1.1797569444444444E-2</v>
      </c>
      <c r="D284" s="29">
        <v>1.1837164351851852E-2</v>
      </c>
      <c r="E284" t="b">
        <f t="shared" si="8"/>
        <v>1</v>
      </c>
      <c r="G284" t="b">
        <f t="shared" si="9"/>
        <v>0</v>
      </c>
      <c r="P284">
        <v>279</v>
      </c>
      <c r="Q284" s="23" t="s">
        <v>1085</v>
      </c>
      <c r="R284" s="29">
        <v>1.1809155092592593E-2</v>
      </c>
      <c r="S284" s="29">
        <v>1.1848738425925926E-2</v>
      </c>
    </row>
    <row r="285" spans="1:19" x14ac:dyDescent="0.3">
      <c r="A285">
        <v>280</v>
      </c>
      <c r="B285" s="23" t="s">
        <v>1086</v>
      </c>
      <c r="C285" s="29">
        <v>1.184875E-2</v>
      </c>
      <c r="D285" s="29">
        <v>1.1871435185185185E-2</v>
      </c>
      <c r="E285" t="b">
        <f t="shared" si="8"/>
        <v>1</v>
      </c>
      <c r="G285" t="b">
        <f t="shared" si="9"/>
        <v>0</v>
      </c>
      <c r="P285">
        <v>280</v>
      </c>
      <c r="Q285" s="23" t="s">
        <v>1086</v>
      </c>
      <c r="R285" s="29">
        <v>1.1860324074074073E-2</v>
      </c>
      <c r="S285" s="29">
        <v>1.18815625E-2</v>
      </c>
    </row>
    <row r="286" spans="1:19" ht="28.8" x14ac:dyDescent="0.3">
      <c r="A286">
        <v>281</v>
      </c>
      <c r="B286" s="23" t="s">
        <v>1087</v>
      </c>
      <c r="C286" s="29">
        <v>1.1871921296296295E-2</v>
      </c>
      <c r="D286" s="29">
        <v>1.1911979166666666E-2</v>
      </c>
      <c r="E286" t="b">
        <f t="shared" si="8"/>
        <v>1</v>
      </c>
      <c r="G286" t="b">
        <f t="shared" si="9"/>
        <v>0</v>
      </c>
      <c r="P286">
        <v>281</v>
      </c>
      <c r="Q286" s="23" t="s">
        <v>1087</v>
      </c>
      <c r="R286" s="29">
        <v>1.1883495370370369E-2</v>
      </c>
      <c r="S286" s="29">
        <v>1.1922118055555554E-2</v>
      </c>
    </row>
    <row r="287" spans="1:19" ht="28.8" x14ac:dyDescent="0.3">
      <c r="A287">
        <v>282</v>
      </c>
      <c r="B287" s="23" t="s">
        <v>1088</v>
      </c>
      <c r="C287" s="29">
        <v>1.1912465277777779E-2</v>
      </c>
      <c r="D287" s="29">
        <v>1.1949641203703704E-2</v>
      </c>
      <c r="E287" t="b">
        <f t="shared" si="8"/>
        <v>1</v>
      </c>
      <c r="G287" t="b">
        <f t="shared" si="9"/>
        <v>0</v>
      </c>
      <c r="P287">
        <v>282</v>
      </c>
      <c r="Q287" s="23" t="s">
        <v>1088</v>
      </c>
      <c r="R287" s="29">
        <v>1.1924050925925926E-2</v>
      </c>
      <c r="S287" s="29">
        <v>1.1959768518518519E-2</v>
      </c>
    </row>
    <row r="288" spans="1:19" ht="28.8" x14ac:dyDescent="0.3">
      <c r="A288">
        <v>283</v>
      </c>
      <c r="B288" s="23" t="s">
        <v>1089</v>
      </c>
      <c r="C288" s="29">
        <v>1.195011574074074E-2</v>
      </c>
      <c r="D288" s="29">
        <v>1.1998391203703704E-2</v>
      </c>
      <c r="E288" t="b">
        <f t="shared" si="8"/>
        <v>1</v>
      </c>
      <c r="G288" t="b">
        <f t="shared" si="9"/>
        <v>0</v>
      </c>
      <c r="P288">
        <v>283</v>
      </c>
      <c r="Q288" s="23" t="s">
        <v>1089</v>
      </c>
      <c r="R288" s="29">
        <v>1.1961701388888888E-2</v>
      </c>
      <c r="S288" s="29">
        <v>1.2009976851851852E-2</v>
      </c>
    </row>
    <row r="289" spans="1:19" x14ac:dyDescent="0.3">
      <c r="A289">
        <v>284</v>
      </c>
      <c r="B289" s="23" t="s">
        <v>1090</v>
      </c>
      <c r="C289" s="29">
        <v>1.2003217592592593E-2</v>
      </c>
      <c r="D289" s="29">
        <v>1.2032187499999999E-2</v>
      </c>
      <c r="E289" t="b">
        <f t="shared" si="8"/>
        <v>1</v>
      </c>
      <c r="G289" t="b">
        <f t="shared" si="9"/>
        <v>0</v>
      </c>
      <c r="P289">
        <v>284</v>
      </c>
      <c r="Q289" s="23" t="s">
        <v>1090</v>
      </c>
      <c r="R289" s="29">
        <v>1.2014803240740741E-2</v>
      </c>
      <c r="S289" s="29">
        <v>1.2043761574074073E-2</v>
      </c>
    </row>
    <row r="290" spans="1:19" ht="28.8" x14ac:dyDescent="0.3">
      <c r="A290">
        <v>285</v>
      </c>
      <c r="B290" s="23" t="s">
        <v>1091</v>
      </c>
      <c r="C290" s="29">
        <v>1.2037013888888889E-2</v>
      </c>
      <c r="D290" s="29">
        <v>1.2071284722222223E-2</v>
      </c>
      <c r="E290" t="b">
        <f t="shared" si="8"/>
        <v>1</v>
      </c>
      <c r="G290" t="b">
        <f t="shared" si="9"/>
        <v>0</v>
      </c>
      <c r="P290">
        <v>285</v>
      </c>
      <c r="Q290" s="23" t="s">
        <v>1091</v>
      </c>
      <c r="R290" s="29">
        <v>1.2048587962962964E-2</v>
      </c>
      <c r="S290" s="29">
        <v>1.2081412037037038E-2</v>
      </c>
    </row>
    <row r="291" spans="1:19" ht="28.8" x14ac:dyDescent="0.3">
      <c r="A291">
        <v>286</v>
      </c>
      <c r="B291" s="23" t="s">
        <v>1092</v>
      </c>
      <c r="C291" s="29">
        <v>1.2071770833333334E-2</v>
      </c>
      <c r="D291" s="29">
        <v>1.2106527777777777E-2</v>
      </c>
      <c r="E291" t="b">
        <f t="shared" si="8"/>
        <v>1</v>
      </c>
      <c r="G291" t="b">
        <f t="shared" si="9"/>
        <v>0</v>
      </c>
      <c r="P291">
        <v>286</v>
      </c>
      <c r="Q291" s="23" t="s">
        <v>1092</v>
      </c>
      <c r="R291" s="29">
        <v>1.2083344907407407E-2</v>
      </c>
      <c r="S291" s="29">
        <v>1.2116655092592592E-2</v>
      </c>
    </row>
    <row r="292" spans="1:19" ht="28.8" x14ac:dyDescent="0.3">
      <c r="A292">
        <v>287</v>
      </c>
      <c r="B292" s="23" t="s">
        <v>1093</v>
      </c>
      <c r="C292" s="29">
        <v>1.2107002314814815E-2</v>
      </c>
      <c r="D292" s="29">
        <v>1.2174108796296297E-2</v>
      </c>
      <c r="E292" t="b">
        <f t="shared" si="8"/>
        <v>1</v>
      </c>
      <c r="G292" t="b">
        <f t="shared" si="9"/>
        <v>0</v>
      </c>
      <c r="P292">
        <v>287</v>
      </c>
      <c r="Q292" s="23" t="s">
        <v>1093</v>
      </c>
      <c r="R292" s="29">
        <v>1.2118587962962963E-2</v>
      </c>
      <c r="S292" s="29">
        <v>1.2185682870370371E-2</v>
      </c>
    </row>
    <row r="293" spans="1:19" x14ac:dyDescent="0.3">
      <c r="A293">
        <v>288</v>
      </c>
      <c r="B293" s="23" t="s">
        <v>1094</v>
      </c>
      <c r="C293" s="29">
        <v>1.2223344907407407E-2</v>
      </c>
      <c r="D293" s="29">
        <v>1.2255694444444446E-2</v>
      </c>
      <c r="E293" t="b">
        <f t="shared" si="8"/>
        <v>1</v>
      </c>
      <c r="G293" t="b">
        <f t="shared" si="9"/>
        <v>0</v>
      </c>
      <c r="P293">
        <v>288</v>
      </c>
      <c r="Q293" s="23" t="s">
        <v>1094</v>
      </c>
      <c r="R293" s="29">
        <v>1.2234930555555554E-2</v>
      </c>
      <c r="S293" s="29">
        <v>1.2265821759259259E-2</v>
      </c>
    </row>
    <row r="294" spans="1:19" x14ac:dyDescent="0.3">
      <c r="A294">
        <v>289</v>
      </c>
      <c r="B294" s="23" t="s">
        <v>1095</v>
      </c>
      <c r="C294" s="29">
        <v>1.2256168981481481E-2</v>
      </c>
      <c r="D294" s="29">
        <v>1.2269687500000001E-2</v>
      </c>
      <c r="E294" t="b">
        <f t="shared" si="8"/>
        <v>1</v>
      </c>
      <c r="G294" t="b">
        <f t="shared" si="9"/>
        <v>0</v>
      </c>
      <c r="P294">
        <v>289</v>
      </c>
      <c r="Q294" s="23" t="s">
        <v>1095</v>
      </c>
      <c r="R294" s="29">
        <v>1.2267754629629628E-2</v>
      </c>
      <c r="S294" s="29">
        <v>1.227982638888889E-2</v>
      </c>
    </row>
    <row r="295" spans="1:19" ht="28.8" x14ac:dyDescent="0.3">
      <c r="A295">
        <v>290</v>
      </c>
      <c r="B295" s="23" t="s">
        <v>1096</v>
      </c>
      <c r="C295" s="29">
        <v>1.2270173611111112E-2</v>
      </c>
      <c r="D295" s="29">
        <v>1.2312175925925924E-2</v>
      </c>
      <c r="E295" t="b">
        <f t="shared" si="8"/>
        <v>1</v>
      </c>
      <c r="G295" t="b">
        <f t="shared" si="9"/>
        <v>0</v>
      </c>
      <c r="P295">
        <v>290</v>
      </c>
      <c r="Q295" s="23" t="s">
        <v>1096</v>
      </c>
      <c r="R295" s="29">
        <v>1.2281747685185185E-2</v>
      </c>
      <c r="S295" s="29">
        <v>1.232230324074074E-2</v>
      </c>
    </row>
    <row r="296" spans="1:19" ht="28.8" x14ac:dyDescent="0.3">
      <c r="A296">
        <v>291</v>
      </c>
      <c r="B296" s="23" t="s">
        <v>1097</v>
      </c>
      <c r="C296" s="29">
        <v>1.2312650462962964E-2</v>
      </c>
      <c r="D296" s="29">
        <v>1.2354166666666668E-2</v>
      </c>
      <c r="E296" t="b">
        <f t="shared" si="8"/>
        <v>1</v>
      </c>
      <c r="G296" t="b">
        <f t="shared" si="9"/>
        <v>0</v>
      </c>
      <c r="P296">
        <v>291</v>
      </c>
      <c r="Q296" s="23" t="s">
        <v>1097</v>
      </c>
      <c r="R296" s="29">
        <v>1.2324236111111112E-2</v>
      </c>
      <c r="S296" s="29">
        <v>1.2364305555555557E-2</v>
      </c>
    </row>
    <row r="297" spans="1:19" ht="28.8" x14ac:dyDescent="0.3">
      <c r="A297">
        <v>292</v>
      </c>
      <c r="B297" s="23" t="s">
        <v>1098</v>
      </c>
      <c r="C297" s="29">
        <v>1.2354652777777779E-2</v>
      </c>
      <c r="D297" s="29">
        <v>1.2393275462962964E-2</v>
      </c>
      <c r="E297" t="b">
        <f t="shared" si="8"/>
        <v>1</v>
      </c>
      <c r="G297" t="b">
        <f t="shared" si="9"/>
        <v>0</v>
      </c>
      <c r="P297">
        <v>292</v>
      </c>
      <c r="Q297" s="23" t="s">
        <v>1098</v>
      </c>
      <c r="R297" s="29">
        <v>1.2366226851851852E-2</v>
      </c>
      <c r="S297" s="29">
        <v>1.2404849537037037E-2</v>
      </c>
    </row>
    <row r="298" spans="1:19" ht="28.8" x14ac:dyDescent="0.3">
      <c r="A298">
        <v>293</v>
      </c>
      <c r="B298" s="23" t="s">
        <v>1099</v>
      </c>
      <c r="C298" s="29">
        <v>1.239857638888889E-2</v>
      </c>
      <c r="D298" s="29">
        <v>1.2458923611111112E-2</v>
      </c>
      <c r="E298" t="b">
        <f t="shared" si="8"/>
        <v>1</v>
      </c>
      <c r="G298" t="b">
        <f t="shared" si="9"/>
        <v>0</v>
      </c>
      <c r="P298">
        <v>293</v>
      </c>
      <c r="Q298" s="23" t="s">
        <v>1099</v>
      </c>
      <c r="R298" s="29">
        <v>1.2410162037037037E-2</v>
      </c>
      <c r="S298" s="29">
        <v>1.2469050925925927E-2</v>
      </c>
    </row>
    <row r="299" spans="1:19" x14ac:dyDescent="0.3">
      <c r="A299">
        <v>294</v>
      </c>
      <c r="B299" s="23" t="s">
        <v>603</v>
      </c>
      <c r="C299" s="29">
        <v>1.2459409722222221E-2</v>
      </c>
      <c r="D299" s="29">
        <v>1.2472916666666667E-2</v>
      </c>
      <c r="E299" t="b">
        <f t="shared" si="8"/>
        <v>1</v>
      </c>
      <c r="G299" t="b">
        <f t="shared" si="9"/>
        <v>0</v>
      </c>
      <c r="P299">
        <v>294</v>
      </c>
      <c r="Q299" s="23" t="s">
        <v>603</v>
      </c>
      <c r="R299" s="29">
        <v>1.2470983796296296E-2</v>
      </c>
      <c r="S299" s="29">
        <v>1.2483055555555556E-2</v>
      </c>
    </row>
    <row r="300" spans="1:19" x14ac:dyDescent="0.3">
      <c r="A300">
        <v>295</v>
      </c>
      <c r="B300" s="23" t="s">
        <v>1100</v>
      </c>
      <c r="C300" s="29">
        <v>1.2473402777777778E-2</v>
      </c>
      <c r="D300" s="29">
        <v>1.2485474537037036E-2</v>
      </c>
      <c r="E300" t="b">
        <f t="shared" si="8"/>
        <v>1</v>
      </c>
      <c r="G300" t="b">
        <f t="shared" si="9"/>
        <v>0</v>
      </c>
      <c r="P300">
        <v>295</v>
      </c>
      <c r="Q300" s="23" t="s">
        <v>1100</v>
      </c>
      <c r="R300" s="29">
        <v>1.2484988425925925E-2</v>
      </c>
      <c r="S300" s="29">
        <v>1.249704861111111E-2</v>
      </c>
    </row>
    <row r="301" spans="1:19" x14ac:dyDescent="0.3">
      <c r="A301">
        <v>296</v>
      </c>
      <c r="B301" s="23" t="s">
        <v>1101</v>
      </c>
      <c r="C301" s="29">
        <v>1.2493680555555555E-2</v>
      </c>
      <c r="D301" s="29">
        <v>1.2521678240740741E-2</v>
      </c>
      <c r="E301" t="b">
        <f t="shared" si="8"/>
        <v>1</v>
      </c>
      <c r="G301" t="b">
        <f t="shared" si="9"/>
        <v>0</v>
      </c>
      <c r="P301">
        <v>296</v>
      </c>
      <c r="Q301" s="23" t="s">
        <v>1101</v>
      </c>
      <c r="R301" s="29">
        <v>1.2505254629629628E-2</v>
      </c>
      <c r="S301" s="29">
        <v>1.2533252314814815E-2</v>
      </c>
    </row>
    <row r="302" spans="1:19" x14ac:dyDescent="0.3">
      <c r="A302">
        <v>297</v>
      </c>
      <c r="B302" s="23" t="s">
        <v>1102</v>
      </c>
      <c r="C302" s="29">
        <v>1.252601851851852E-2</v>
      </c>
      <c r="D302" s="29">
        <v>1.2568020833333332E-2</v>
      </c>
      <c r="E302" t="b">
        <f t="shared" si="8"/>
        <v>1</v>
      </c>
      <c r="G302" t="b">
        <f t="shared" si="9"/>
        <v>0</v>
      </c>
      <c r="P302">
        <v>297</v>
      </c>
      <c r="Q302" s="23" t="s">
        <v>1102</v>
      </c>
      <c r="R302" s="29">
        <v>1.2537604166666667E-2</v>
      </c>
      <c r="S302" s="29">
        <v>1.2579594907407407E-2</v>
      </c>
    </row>
    <row r="303" spans="1:19" ht="28.8" x14ac:dyDescent="0.3">
      <c r="A303">
        <v>298</v>
      </c>
      <c r="B303" s="23" t="s">
        <v>1103</v>
      </c>
      <c r="C303" s="29">
        <v>1.2638495370370369E-2</v>
      </c>
      <c r="D303" s="29">
        <v>1.2668912037037038E-2</v>
      </c>
      <c r="E303" t="b">
        <f t="shared" si="8"/>
        <v>1</v>
      </c>
      <c r="G303" t="b">
        <f t="shared" si="9"/>
        <v>0</v>
      </c>
      <c r="P303">
        <v>298</v>
      </c>
      <c r="Q303" s="23" t="s">
        <v>1103</v>
      </c>
      <c r="R303" s="29">
        <v>1.2650081018518519E-2</v>
      </c>
      <c r="S303" s="29">
        <v>1.2679039351851853E-2</v>
      </c>
    </row>
    <row r="304" spans="1:19" ht="28.8" x14ac:dyDescent="0.3">
      <c r="A304">
        <v>299</v>
      </c>
      <c r="B304" s="23" t="s">
        <v>1104</v>
      </c>
      <c r="C304" s="29">
        <v>1.2669398148148148E-2</v>
      </c>
      <c r="D304" s="29">
        <v>1.2701736111111112E-2</v>
      </c>
      <c r="E304" t="b">
        <f t="shared" si="8"/>
        <v>1</v>
      </c>
      <c r="G304" t="b">
        <f t="shared" si="9"/>
        <v>0</v>
      </c>
      <c r="P304">
        <v>299</v>
      </c>
      <c r="Q304" s="23" t="s">
        <v>1104</v>
      </c>
      <c r="R304" s="29">
        <v>1.2680972222222222E-2</v>
      </c>
      <c r="S304" s="29">
        <v>1.2711875000000001E-2</v>
      </c>
    </row>
    <row r="305" spans="1:19" x14ac:dyDescent="0.3">
      <c r="A305">
        <v>300</v>
      </c>
      <c r="B305" s="23" t="s">
        <v>1105</v>
      </c>
      <c r="C305" s="29">
        <v>1.2702222222222222E-2</v>
      </c>
      <c r="D305" s="29">
        <v>1.2736979166666666E-2</v>
      </c>
      <c r="E305" t="b">
        <f t="shared" si="8"/>
        <v>1</v>
      </c>
      <c r="G305" t="b">
        <f t="shared" si="9"/>
        <v>0</v>
      </c>
      <c r="P305">
        <v>300</v>
      </c>
      <c r="Q305" s="23" t="s">
        <v>1105</v>
      </c>
      <c r="R305" s="29">
        <v>1.2713796296296296E-2</v>
      </c>
      <c r="S305" s="29">
        <v>1.2748553240740739E-2</v>
      </c>
    </row>
    <row r="306" spans="1:19" x14ac:dyDescent="0.3">
      <c r="A306">
        <v>301</v>
      </c>
      <c r="B306" s="23" t="s">
        <v>1106</v>
      </c>
      <c r="C306" s="29">
        <v>1.2753877314814813E-2</v>
      </c>
      <c r="D306" s="29">
        <v>1.279008101851852E-2</v>
      </c>
      <c r="E306" t="b">
        <f t="shared" si="8"/>
        <v>1</v>
      </c>
      <c r="G306" t="b">
        <f t="shared" si="9"/>
        <v>0</v>
      </c>
      <c r="P306">
        <v>301</v>
      </c>
      <c r="Q306" s="23" t="s">
        <v>1106</v>
      </c>
      <c r="R306" s="29">
        <v>1.2765451388888889E-2</v>
      </c>
      <c r="S306" s="29">
        <v>1.2801655092592594E-2</v>
      </c>
    </row>
    <row r="307" spans="1:19" x14ac:dyDescent="0.3">
      <c r="A307">
        <v>302</v>
      </c>
      <c r="B307" s="23" t="s">
        <v>1107</v>
      </c>
      <c r="C307" s="29">
        <v>1.2837870370370371E-2</v>
      </c>
      <c r="D307" s="29">
        <v>1.2866828703703703E-2</v>
      </c>
      <c r="E307" t="b">
        <f t="shared" si="8"/>
        <v>1</v>
      </c>
      <c r="G307" t="b">
        <f t="shared" si="9"/>
        <v>0</v>
      </c>
      <c r="P307">
        <v>302</v>
      </c>
      <c r="Q307" s="23" t="s">
        <v>1107</v>
      </c>
      <c r="R307" s="29">
        <v>1.2849444444444445E-2</v>
      </c>
      <c r="S307" s="29">
        <v>1.2878414351851851E-2</v>
      </c>
    </row>
    <row r="308" spans="1:19" ht="28.8" x14ac:dyDescent="0.3">
      <c r="A308">
        <v>303</v>
      </c>
      <c r="B308" s="23" t="s">
        <v>1108</v>
      </c>
      <c r="C308" s="29">
        <v>1.2873113425925927E-2</v>
      </c>
      <c r="D308" s="29">
        <v>1.2912210648148148E-2</v>
      </c>
      <c r="E308" t="b">
        <f t="shared" si="8"/>
        <v>1</v>
      </c>
      <c r="G308" t="b">
        <f t="shared" si="9"/>
        <v>0</v>
      </c>
      <c r="P308">
        <v>303</v>
      </c>
      <c r="Q308" s="23" t="s">
        <v>1108</v>
      </c>
      <c r="R308" s="29">
        <v>1.28846875E-2</v>
      </c>
      <c r="S308" s="29">
        <v>1.2922337962962964E-2</v>
      </c>
    </row>
    <row r="309" spans="1:19" x14ac:dyDescent="0.3">
      <c r="A309">
        <v>304</v>
      </c>
      <c r="B309" s="23" t="s">
        <v>1109</v>
      </c>
      <c r="C309" s="29">
        <v>1.2912696759259259E-2</v>
      </c>
      <c r="D309" s="29">
        <v>1.2953240740740741E-2</v>
      </c>
      <c r="E309" t="b">
        <f t="shared" si="8"/>
        <v>1</v>
      </c>
      <c r="G309" t="b">
        <f t="shared" si="9"/>
        <v>0</v>
      </c>
      <c r="P309">
        <v>304</v>
      </c>
      <c r="Q309" s="23" t="s">
        <v>1109</v>
      </c>
      <c r="R309" s="29">
        <v>1.2924270833333333E-2</v>
      </c>
      <c r="S309" s="29">
        <v>1.296482638888889E-2</v>
      </c>
    </row>
    <row r="310" spans="1:19" x14ac:dyDescent="0.3">
      <c r="A310">
        <v>305</v>
      </c>
      <c r="B310" s="23" t="s">
        <v>1110</v>
      </c>
      <c r="C310" s="29">
        <v>1.2962418981481481E-2</v>
      </c>
      <c r="D310" s="29">
        <v>1.2982685185185184E-2</v>
      </c>
      <c r="E310" t="b">
        <f t="shared" si="8"/>
        <v>1</v>
      </c>
      <c r="G310" t="b">
        <f t="shared" si="9"/>
        <v>0</v>
      </c>
      <c r="P310">
        <v>305</v>
      </c>
      <c r="Q310" s="23" t="s">
        <v>1110</v>
      </c>
      <c r="R310" s="29">
        <v>1.2973993055555555E-2</v>
      </c>
      <c r="S310" s="29">
        <v>1.2992824074074073E-2</v>
      </c>
    </row>
    <row r="311" spans="1:19" x14ac:dyDescent="0.3">
      <c r="A311">
        <v>306</v>
      </c>
      <c r="B311" s="23" t="s">
        <v>1111</v>
      </c>
      <c r="C311" s="29">
        <v>1.2983171296296298E-2</v>
      </c>
      <c r="D311" s="29">
        <v>1.3013587962962963E-2</v>
      </c>
      <c r="E311" t="b">
        <f t="shared" si="8"/>
        <v>1</v>
      </c>
      <c r="G311" t="b">
        <f t="shared" si="9"/>
        <v>0</v>
      </c>
      <c r="P311">
        <v>306</v>
      </c>
      <c r="Q311" s="23" t="s">
        <v>1111</v>
      </c>
      <c r="R311" s="29">
        <v>1.2994756944444446E-2</v>
      </c>
      <c r="S311" s="29">
        <v>1.3025162037037036E-2</v>
      </c>
    </row>
    <row r="312" spans="1:19" x14ac:dyDescent="0.3">
      <c r="A312">
        <v>307</v>
      </c>
      <c r="B312" s="23" t="s">
        <v>1112</v>
      </c>
      <c r="C312" s="29">
        <v>1.3024201388888889E-2</v>
      </c>
      <c r="D312" s="29">
        <v>1.3043993055555555E-2</v>
      </c>
      <c r="E312" t="b">
        <f t="shared" si="8"/>
        <v>1</v>
      </c>
      <c r="G312" t="b">
        <f t="shared" si="9"/>
        <v>0</v>
      </c>
      <c r="P312">
        <v>307</v>
      </c>
      <c r="Q312" s="23" t="s">
        <v>1112</v>
      </c>
      <c r="R312" s="29">
        <v>1.3035787037037037E-2</v>
      </c>
      <c r="S312" s="29">
        <v>1.3055578703703703E-2</v>
      </c>
    </row>
    <row r="313" spans="1:19" x14ac:dyDescent="0.3">
      <c r="A313">
        <v>308</v>
      </c>
      <c r="B313" s="23" t="s">
        <v>1113</v>
      </c>
      <c r="C313" s="29">
        <v>1.3056550925925926E-2</v>
      </c>
      <c r="D313" s="29">
        <v>1.30946875E-2</v>
      </c>
      <c r="E313" t="b">
        <f t="shared" si="8"/>
        <v>1</v>
      </c>
      <c r="G313" t="b">
        <f t="shared" si="9"/>
        <v>0</v>
      </c>
      <c r="P313">
        <v>308</v>
      </c>
      <c r="Q313" s="23" t="s">
        <v>1113</v>
      </c>
      <c r="R313" s="29">
        <v>1.3068125E-2</v>
      </c>
      <c r="S313" s="29">
        <v>1.3106261574074076E-2</v>
      </c>
    </row>
    <row r="314" spans="1:19" x14ac:dyDescent="0.3">
      <c r="A314">
        <v>309</v>
      </c>
      <c r="B314" s="23" t="s">
        <v>1114</v>
      </c>
      <c r="C314" s="29">
        <v>1.3128958333333334E-2</v>
      </c>
      <c r="D314" s="29">
        <v>1.3162754629629628E-2</v>
      </c>
      <c r="E314" t="b">
        <f t="shared" si="8"/>
        <v>1</v>
      </c>
      <c r="G314" t="b">
        <f t="shared" si="9"/>
        <v>0</v>
      </c>
      <c r="P314">
        <v>309</v>
      </c>
      <c r="Q314" s="23" t="s">
        <v>1114</v>
      </c>
      <c r="R314" s="29">
        <v>1.3140543981481482E-2</v>
      </c>
      <c r="S314" s="29">
        <v>1.3174328703703704E-2</v>
      </c>
    </row>
    <row r="315" spans="1:19" ht="28.8" x14ac:dyDescent="0.3">
      <c r="A315">
        <v>310</v>
      </c>
      <c r="B315" s="23" t="s">
        <v>1115</v>
      </c>
      <c r="C315" s="29">
        <v>1.3183020833333333E-2</v>
      </c>
      <c r="D315" s="29">
        <v>1.3215856481481481E-2</v>
      </c>
      <c r="E315" t="b">
        <f t="shared" si="8"/>
        <v>1</v>
      </c>
      <c r="G315" t="b">
        <f t="shared" si="9"/>
        <v>0</v>
      </c>
      <c r="P315">
        <v>310</v>
      </c>
      <c r="Q315" s="23" t="s">
        <v>1115</v>
      </c>
      <c r="R315" s="29">
        <v>1.3194606481481481E-2</v>
      </c>
      <c r="S315" s="29">
        <v>1.3227430555555555E-2</v>
      </c>
    </row>
    <row r="316" spans="1:19" x14ac:dyDescent="0.3">
      <c r="A316">
        <v>311</v>
      </c>
      <c r="B316" s="23" t="s">
        <v>1116</v>
      </c>
      <c r="C316" s="29">
        <v>1.3245775462962963E-2</v>
      </c>
      <c r="D316" s="29">
        <v>1.3278125E-2</v>
      </c>
      <c r="E316" t="b">
        <f t="shared" si="8"/>
        <v>1</v>
      </c>
      <c r="G316" t="b">
        <f t="shared" si="9"/>
        <v>0</v>
      </c>
      <c r="P316">
        <v>311</v>
      </c>
      <c r="Q316" s="23" t="s">
        <v>1116</v>
      </c>
      <c r="R316" s="29">
        <v>1.325736111111111E-2</v>
      </c>
      <c r="S316" s="29">
        <v>1.3288252314814815E-2</v>
      </c>
    </row>
    <row r="317" spans="1:19" ht="28.8" x14ac:dyDescent="0.3">
      <c r="A317">
        <v>312</v>
      </c>
      <c r="B317" s="23" t="s">
        <v>1117</v>
      </c>
      <c r="C317" s="29">
        <v>1.3278611111111111E-2</v>
      </c>
      <c r="D317" s="29">
        <v>1.3309016203703703E-2</v>
      </c>
      <c r="E317" t="b">
        <f t="shared" si="8"/>
        <v>1</v>
      </c>
      <c r="G317" t="b">
        <f t="shared" si="9"/>
        <v>0</v>
      </c>
      <c r="P317">
        <v>312</v>
      </c>
      <c r="Q317" s="23" t="s">
        <v>1117</v>
      </c>
      <c r="R317" s="29">
        <v>1.3290185185185184E-2</v>
      </c>
      <c r="S317" s="29">
        <v>1.3320601851851853E-2</v>
      </c>
    </row>
    <row r="318" spans="1:19" ht="28.8" x14ac:dyDescent="0.3">
      <c r="A318">
        <v>313</v>
      </c>
      <c r="B318" s="23" t="s">
        <v>1118</v>
      </c>
      <c r="C318" s="29">
        <v>1.3353425925925927E-2</v>
      </c>
      <c r="D318" s="29">
        <v>1.339638888888889E-2</v>
      </c>
      <c r="E318" t="b">
        <f t="shared" si="8"/>
        <v>1</v>
      </c>
      <c r="G318" t="b">
        <f t="shared" si="9"/>
        <v>0</v>
      </c>
      <c r="P318">
        <v>313</v>
      </c>
      <c r="Q318" s="23" t="s">
        <v>1118</v>
      </c>
      <c r="R318" s="29">
        <v>1.3365011574074074E-2</v>
      </c>
      <c r="S318" s="29">
        <v>1.3406527777777779E-2</v>
      </c>
    </row>
    <row r="319" spans="1:19" x14ac:dyDescent="0.3">
      <c r="A319">
        <v>314</v>
      </c>
      <c r="B319" s="23" t="s">
        <v>1119</v>
      </c>
      <c r="C319" s="29">
        <v>1.3396875000000001E-2</v>
      </c>
      <c r="D319" s="29">
        <v>1.3418113425925927E-2</v>
      </c>
      <c r="E319" t="b">
        <f t="shared" si="8"/>
        <v>1</v>
      </c>
      <c r="G319" t="b">
        <f t="shared" si="9"/>
        <v>0</v>
      </c>
      <c r="P319">
        <v>314</v>
      </c>
      <c r="Q319" s="23" t="s">
        <v>1119</v>
      </c>
      <c r="R319" s="29">
        <v>1.3408460648148149E-2</v>
      </c>
      <c r="S319" s="29">
        <v>1.3428252314814815E-2</v>
      </c>
    </row>
    <row r="320" spans="1:19" x14ac:dyDescent="0.3">
      <c r="A320">
        <v>315</v>
      </c>
      <c r="B320" s="23" t="s">
        <v>1120</v>
      </c>
      <c r="C320" s="29">
        <v>1.3418599537037036E-2</v>
      </c>
      <c r="D320" s="29">
        <v>1.3437905092592593E-2</v>
      </c>
      <c r="E320" t="b">
        <f t="shared" si="8"/>
        <v>1</v>
      </c>
      <c r="G320" t="b">
        <f t="shared" si="9"/>
        <v>0</v>
      </c>
      <c r="P320">
        <v>315</v>
      </c>
      <c r="Q320" s="23" t="s">
        <v>1120</v>
      </c>
      <c r="R320" s="29">
        <v>1.3430185185185184E-2</v>
      </c>
      <c r="S320" s="29">
        <v>1.3449490740740741E-2</v>
      </c>
    </row>
    <row r="321" spans="1:19" x14ac:dyDescent="0.3">
      <c r="A321">
        <v>316</v>
      </c>
      <c r="B321" s="23" t="s">
        <v>1121</v>
      </c>
      <c r="C321" s="29">
        <v>1.3453356481481481E-2</v>
      </c>
      <c r="D321" s="29">
        <v>1.3474594907407407E-2</v>
      </c>
      <c r="E321" t="b">
        <f t="shared" si="8"/>
        <v>1</v>
      </c>
      <c r="G321" t="b">
        <f t="shared" si="9"/>
        <v>0</v>
      </c>
      <c r="P321">
        <v>316</v>
      </c>
      <c r="Q321" s="23" t="s">
        <v>1121</v>
      </c>
      <c r="R321" s="29">
        <v>1.3464942129629631E-2</v>
      </c>
      <c r="S321" s="29">
        <v>1.3486180555555555E-2</v>
      </c>
    </row>
    <row r="322" spans="1:19" ht="28.8" x14ac:dyDescent="0.3">
      <c r="A322">
        <v>317</v>
      </c>
      <c r="B322" s="23" t="s">
        <v>1122</v>
      </c>
      <c r="C322" s="29">
        <v>1.3480393518518517E-2</v>
      </c>
      <c r="D322" s="29">
        <v>1.3510324074074074E-2</v>
      </c>
      <c r="E322" t="b">
        <f t="shared" si="8"/>
        <v>1</v>
      </c>
      <c r="G322" t="b">
        <f t="shared" si="9"/>
        <v>0</v>
      </c>
      <c r="P322">
        <v>317</v>
      </c>
      <c r="Q322" s="23" t="s">
        <v>1122</v>
      </c>
      <c r="R322" s="29">
        <v>1.3491967592592592E-2</v>
      </c>
      <c r="S322" s="29">
        <v>1.3520451388888887E-2</v>
      </c>
    </row>
    <row r="323" spans="1:19" ht="28.8" x14ac:dyDescent="0.3">
      <c r="A323">
        <v>318</v>
      </c>
      <c r="B323" s="23" t="s">
        <v>1123</v>
      </c>
      <c r="C323" s="29">
        <v>1.3510798611111112E-2</v>
      </c>
      <c r="D323" s="29">
        <v>1.3549907407407408E-2</v>
      </c>
      <c r="E323" t="b">
        <f t="shared" si="8"/>
        <v>1</v>
      </c>
      <c r="G323" t="b">
        <f t="shared" si="9"/>
        <v>0</v>
      </c>
      <c r="P323">
        <v>318</v>
      </c>
      <c r="Q323" s="23" t="s">
        <v>1123</v>
      </c>
      <c r="R323" s="29">
        <v>1.352238425925926E-2</v>
      </c>
      <c r="S323" s="29">
        <v>1.3561481481481482E-2</v>
      </c>
    </row>
    <row r="324" spans="1:19" ht="28.8" x14ac:dyDescent="0.3">
      <c r="A324">
        <v>319</v>
      </c>
      <c r="B324" s="23" t="s">
        <v>1124</v>
      </c>
      <c r="C324" s="29">
        <v>1.3597210648148148E-2</v>
      </c>
      <c r="D324" s="29">
        <v>1.3627141203703704E-2</v>
      </c>
      <c r="E324" t="b">
        <f t="shared" si="8"/>
        <v>1</v>
      </c>
      <c r="G324" t="b">
        <f t="shared" si="9"/>
        <v>0</v>
      </c>
      <c r="P324">
        <v>319</v>
      </c>
      <c r="Q324" s="23" t="s">
        <v>1124</v>
      </c>
      <c r="R324" s="29">
        <v>1.3608796296296296E-2</v>
      </c>
      <c r="S324" s="29">
        <v>1.3638726851851852E-2</v>
      </c>
    </row>
    <row r="325" spans="1:19" x14ac:dyDescent="0.3">
      <c r="A325">
        <v>320</v>
      </c>
      <c r="B325" s="23" t="s">
        <v>1125</v>
      </c>
      <c r="C325" s="29">
        <v>1.3637280092592591E-2</v>
      </c>
      <c r="D325" s="29">
        <v>1.3669618055555556E-2</v>
      </c>
      <c r="E325" t="b">
        <f t="shared" si="8"/>
        <v>1</v>
      </c>
      <c r="G325" t="b">
        <f t="shared" si="9"/>
        <v>0</v>
      </c>
      <c r="P325">
        <v>320</v>
      </c>
      <c r="Q325" s="23" t="s">
        <v>1125</v>
      </c>
      <c r="R325" s="29">
        <v>1.3648854166666667E-2</v>
      </c>
      <c r="S325" s="29">
        <v>1.3681203703703704E-2</v>
      </c>
    </row>
    <row r="326" spans="1:19" ht="28.8" x14ac:dyDescent="0.3">
      <c r="A326">
        <v>321</v>
      </c>
      <c r="B326" s="23" t="s">
        <v>1126</v>
      </c>
      <c r="C326" s="29">
        <v>1.3715000000000001E-2</v>
      </c>
      <c r="D326" s="29">
        <v>1.3753136574074074E-2</v>
      </c>
      <c r="E326" t="b">
        <f t="shared" ref="E326:E350" si="10">B326=Q326</f>
        <v>1</v>
      </c>
      <c r="G326" t="b">
        <f t="shared" ref="G326:G350" si="11">C326=R326</f>
        <v>0</v>
      </c>
      <c r="P326">
        <v>321</v>
      </c>
      <c r="Q326" s="23" t="s">
        <v>1126</v>
      </c>
      <c r="R326" s="29">
        <v>1.3726574074074075E-2</v>
      </c>
      <c r="S326" s="29">
        <v>1.3763263888888889E-2</v>
      </c>
    </row>
    <row r="327" spans="1:19" x14ac:dyDescent="0.3">
      <c r="A327">
        <v>322</v>
      </c>
      <c r="B327" s="23" t="s">
        <v>825</v>
      </c>
      <c r="C327" s="29">
        <v>1.3753622685185186E-2</v>
      </c>
      <c r="D327" s="29">
        <v>1.3777268518518519E-2</v>
      </c>
      <c r="E327" t="b">
        <f t="shared" si="10"/>
        <v>1</v>
      </c>
      <c r="G327" t="b">
        <f t="shared" si="11"/>
        <v>0</v>
      </c>
      <c r="P327">
        <v>322</v>
      </c>
      <c r="Q327" s="23" t="s">
        <v>825</v>
      </c>
      <c r="R327" s="29">
        <v>1.376519675925926E-2</v>
      </c>
      <c r="S327" s="29">
        <v>1.3788854166666666E-2</v>
      </c>
    </row>
    <row r="328" spans="1:19" x14ac:dyDescent="0.3">
      <c r="A328">
        <v>323</v>
      </c>
      <c r="B328" s="23" t="s">
        <v>1127</v>
      </c>
      <c r="C328" s="29">
        <v>1.3784027777777779E-2</v>
      </c>
      <c r="D328" s="29">
        <v>1.3825057870370369E-2</v>
      </c>
      <c r="E328" t="b">
        <f t="shared" si="10"/>
        <v>1</v>
      </c>
      <c r="G328" t="b">
        <f t="shared" si="11"/>
        <v>0</v>
      </c>
      <c r="P328">
        <v>323</v>
      </c>
      <c r="Q328" s="23" t="s">
        <v>1127</v>
      </c>
      <c r="R328" s="29">
        <v>1.3795613425925926E-2</v>
      </c>
      <c r="S328" s="29">
        <v>1.3835196759259261E-2</v>
      </c>
    </row>
    <row r="329" spans="1:19" x14ac:dyDescent="0.3">
      <c r="A329">
        <v>324</v>
      </c>
      <c r="B329" s="23" t="s">
        <v>1128</v>
      </c>
      <c r="C329" s="29">
        <v>1.3825543981481482E-2</v>
      </c>
      <c r="D329" s="29">
        <v>1.3854027777777778E-2</v>
      </c>
      <c r="E329" t="b">
        <f t="shared" si="10"/>
        <v>1</v>
      </c>
      <c r="G329" t="b">
        <f t="shared" si="11"/>
        <v>0</v>
      </c>
      <c r="P329">
        <v>324</v>
      </c>
      <c r="Q329" s="23" t="s">
        <v>1128</v>
      </c>
      <c r="R329" s="29">
        <v>1.383712962962963E-2</v>
      </c>
      <c r="S329" s="29">
        <v>1.3865601851851853E-2</v>
      </c>
    </row>
    <row r="330" spans="1:19" x14ac:dyDescent="0.3">
      <c r="A330">
        <v>325</v>
      </c>
      <c r="B330" s="23" t="s">
        <v>1129</v>
      </c>
      <c r="C330" s="29">
        <v>1.3860300925925925E-2</v>
      </c>
      <c r="D330" s="29">
        <v>1.3883958333333335E-2</v>
      </c>
      <c r="E330" t="b">
        <f t="shared" si="10"/>
        <v>1</v>
      </c>
      <c r="G330" t="b">
        <f t="shared" si="11"/>
        <v>0</v>
      </c>
      <c r="P330">
        <v>325</v>
      </c>
      <c r="Q330" s="23" t="s">
        <v>1129</v>
      </c>
      <c r="R330" s="29">
        <v>1.3871886574074073E-2</v>
      </c>
      <c r="S330" s="29">
        <v>1.3895532407407409E-2</v>
      </c>
    </row>
    <row r="331" spans="1:19" x14ac:dyDescent="0.3">
      <c r="A331">
        <v>326</v>
      </c>
      <c r="B331" s="23" t="s">
        <v>1130</v>
      </c>
      <c r="C331" s="29">
        <v>1.394091435185185E-2</v>
      </c>
      <c r="D331" s="29">
        <v>1.3955879629629631E-2</v>
      </c>
      <c r="E331" t="b">
        <f t="shared" si="10"/>
        <v>1</v>
      </c>
      <c r="G331" t="b">
        <f t="shared" si="11"/>
        <v>0</v>
      </c>
      <c r="P331">
        <v>326</v>
      </c>
      <c r="Q331" s="23" t="s">
        <v>1130</v>
      </c>
      <c r="R331" s="29">
        <v>1.3952500000000001E-2</v>
      </c>
      <c r="S331" s="29">
        <v>1.3966018518518518E-2</v>
      </c>
    </row>
    <row r="332" spans="1:19" ht="28.8" x14ac:dyDescent="0.3">
      <c r="A332">
        <v>327</v>
      </c>
      <c r="B332" s="23" t="s">
        <v>1131</v>
      </c>
      <c r="C332" s="29">
        <v>1.395636574074074E-2</v>
      </c>
      <c r="D332" s="29">
        <v>1.3994502314814816E-2</v>
      </c>
      <c r="E332" t="b">
        <f t="shared" si="10"/>
        <v>1</v>
      </c>
      <c r="G332" t="b">
        <f t="shared" si="11"/>
        <v>0</v>
      </c>
      <c r="P332">
        <v>327</v>
      </c>
      <c r="Q332" s="23" t="s">
        <v>1131</v>
      </c>
      <c r="R332" s="29">
        <v>1.3967951388888887E-2</v>
      </c>
      <c r="S332" s="30">
        <v>1.4004629629629629E-2</v>
      </c>
    </row>
    <row r="333" spans="1:19" x14ac:dyDescent="0.3">
      <c r="A333">
        <v>328</v>
      </c>
      <c r="B333" s="23" t="s">
        <v>1132</v>
      </c>
      <c r="C333" s="29">
        <v>1.3994988425925925E-2</v>
      </c>
      <c r="D333" s="29">
        <v>1.4008020833333332E-2</v>
      </c>
      <c r="E333" t="b">
        <f t="shared" si="10"/>
        <v>1</v>
      </c>
      <c r="G333" t="b">
        <f t="shared" si="11"/>
        <v>0</v>
      </c>
      <c r="P333">
        <v>328</v>
      </c>
      <c r="Q333" s="23" t="s">
        <v>1132</v>
      </c>
      <c r="R333" s="29">
        <v>1.4006562499999998E-2</v>
      </c>
      <c r="S333" s="29">
        <v>1.4018148148148148E-2</v>
      </c>
    </row>
    <row r="334" spans="1:19" ht="28.8" x14ac:dyDescent="0.3">
      <c r="A334">
        <v>329</v>
      </c>
      <c r="B334" s="23" t="s">
        <v>1133</v>
      </c>
      <c r="C334" s="29">
        <v>1.4008506944444445E-2</v>
      </c>
      <c r="D334" s="29">
        <v>1.403505787037037E-2</v>
      </c>
      <c r="E334" t="b">
        <f t="shared" si="10"/>
        <v>1</v>
      </c>
      <c r="G334" t="b">
        <f t="shared" si="11"/>
        <v>0</v>
      </c>
      <c r="P334">
        <v>329</v>
      </c>
      <c r="Q334" s="23" t="s">
        <v>1133</v>
      </c>
      <c r="R334" s="29">
        <v>1.4020081018518519E-2</v>
      </c>
      <c r="S334" s="29">
        <v>1.4045185185185185E-2</v>
      </c>
    </row>
    <row r="335" spans="1:19" x14ac:dyDescent="0.3">
      <c r="A335">
        <v>330</v>
      </c>
      <c r="B335" s="23" t="s">
        <v>1134</v>
      </c>
      <c r="C335" s="29">
        <v>1.4035532407407408E-2</v>
      </c>
      <c r="D335" s="29">
        <v>1.4058703703703703E-2</v>
      </c>
      <c r="E335" t="b">
        <f t="shared" si="10"/>
        <v>1</v>
      </c>
      <c r="G335" t="b">
        <f t="shared" si="11"/>
        <v>0</v>
      </c>
      <c r="P335">
        <v>330</v>
      </c>
      <c r="Q335" s="23" t="s">
        <v>1134</v>
      </c>
      <c r="R335" s="29">
        <v>1.4047118055555556E-2</v>
      </c>
      <c r="S335" s="29">
        <v>1.4068842592592593E-2</v>
      </c>
    </row>
    <row r="336" spans="1:19" ht="28.8" x14ac:dyDescent="0.3">
      <c r="A336">
        <v>331</v>
      </c>
      <c r="B336" s="23" t="s">
        <v>1135</v>
      </c>
      <c r="C336" s="29">
        <v>1.4059189814814814E-2</v>
      </c>
      <c r="D336" s="29">
        <v>1.4099733796296298E-2</v>
      </c>
      <c r="E336" t="b">
        <f t="shared" si="10"/>
        <v>1</v>
      </c>
      <c r="G336" t="b">
        <f t="shared" si="11"/>
        <v>0</v>
      </c>
      <c r="P336">
        <v>331</v>
      </c>
      <c r="Q336" s="23" t="s">
        <v>1135</v>
      </c>
      <c r="R336" s="29">
        <v>1.4070775462962962E-2</v>
      </c>
      <c r="S336" s="29">
        <v>1.4111319444444445E-2</v>
      </c>
    </row>
    <row r="337" spans="1:19" x14ac:dyDescent="0.3">
      <c r="A337">
        <v>332</v>
      </c>
      <c r="B337" s="23" t="s">
        <v>1136</v>
      </c>
      <c r="C337" s="29">
        <v>1.4105532407407409E-2</v>
      </c>
      <c r="D337" s="29">
        <v>1.4136909722222223E-2</v>
      </c>
      <c r="E337" t="b">
        <f t="shared" si="10"/>
        <v>1</v>
      </c>
      <c r="G337" t="b">
        <f t="shared" si="11"/>
        <v>0</v>
      </c>
      <c r="P337">
        <v>332</v>
      </c>
      <c r="Q337" s="23" t="s">
        <v>1136</v>
      </c>
      <c r="R337" s="29">
        <v>1.4117118055555556E-2</v>
      </c>
      <c r="S337" s="29">
        <v>1.4147037037037038E-2</v>
      </c>
    </row>
    <row r="338" spans="1:19" ht="28.8" x14ac:dyDescent="0.3">
      <c r="A338">
        <v>333</v>
      </c>
      <c r="B338" s="23" t="s">
        <v>1137</v>
      </c>
      <c r="C338" s="29">
        <v>1.4137395833333333E-2</v>
      </c>
      <c r="D338" s="29">
        <v>1.4181805555555555E-2</v>
      </c>
      <c r="E338" t="b">
        <f t="shared" si="10"/>
        <v>1</v>
      </c>
      <c r="G338" t="b">
        <f t="shared" si="11"/>
        <v>0</v>
      </c>
      <c r="P338">
        <v>333</v>
      </c>
      <c r="Q338" s="23" t="s">
        <v>1137</v>
      </c>
      <c r="R338" s="29">
        <v>1.4148969907407407E-2</v>
      </c>
      <c r="S338" s="29">
        <v>1.419193287037037E-2</v>
      </c>
    </row>
    <row r="339" spans="1:19" x14ac:dyDescent="0.3">
      <c r="A339">
        <v>334</v>
      </c>
      <c r="B339" s="23" t="s">
        <v>1138</v>
      </c>
      <c r="C339" s="29">
        <v>1.4182291666666666E-2</v>
      </c>
      <c r="D339" s="29">
        <v>1.4206423611111111E-2</v>
      </c>
      <c r="E339" t="b">
        <f t="shared" si="10"/>
        <v>1</v>
      </c>
      <c r="G339" t="b">
        <f t="shared" si="11"/>
        <v>0</v>
      </c>
      <c r="P339">
        <v>334</v>
      </c>
      <c r="Q339" s="23" t="s">
        <v>1138</v>
      </c>
      <c r="R339" s="29">
        <v>1.419386574074074E-2</v>
      </c>
      <c r="S339" s="29">
        <v>1.4216550925925926E-2</v>
      </c>
    </row>
    <row r="340" spans="1:19" x14ac:dyDescent="0.3">
      <c r="A340">
        <v>335</v>
      </c>
      <c r="B340" s="23" t="s">
        <v>1139</v>
      </c>
      <c r="C340" s="29">
        <v>1.4206909722222223E-2</v>
      </c>
      <c r="D340" s="29">
        <v>1.4247939814814814E-2</v>
      </c>
      <c r="E340" t="b">
        <f t="shared" si="10"/>
        <v>1</v>
      </c>
      <c r="G340" t="b">
        <f t="shared" si="11"/>
        <v>0</v>
      </c>
      <c r="P340">
        <v>335</v>
      </c>
      <c r="Q340" s="23" t="s">
        <v>1139</v>
      </c>
      <c r="R340" s="29">
        <v>1.4218483796296297E-2</v>
      </c>
      <c r="S340" s="29">
        <v>1.4259513888888888E-2</v>
      </c>
    </row>
    <row r="341" spans="1:19" ht="28.8" x14ac:dyDescent="0.3">
      <c r="A341">
        <v>336</v>
      </c>
      <c r="B341" s="23" t="s">
        <v>1140</v>
      </c>
      <c r="C341" s="29">
        <v>1.4280763888888888E-2</v>
      </c>
      <c r="D341" s="29">
        <v>1.4329525462962962E-2</v>
      </c>
      <c r="E341" t="b">
        <f t="shared" si="10"/>
        <v>1</v>
      </c>
      <c r="G341" t="b">
        <f t="shared" si="11"/>
        <v>0</v>
      </c>
      <c r="P341">
        <v>336</v>
      </c>
      <c r="Q341" s="23" t="s">
        <v>1140</v>
      </c>
      <c r="R341" s="29">
        <v>1.4292349537037036E-2</v>
      </c>
      <c r="S341" s="29">
        <v>1.4341099537037036E-2</v>
      </c>
    </row>
    <row r="342" spans="1:19" ht="28.8" x14ac:dyDescent="0.3">
      <c r="A342">
        <v>337</v>
      </c>
      <c r="B342" s="23" t="s">
        <v>1141</v>
      </c>
      <c r="C342" s="29">
        <v>1.434689814814815E-2</v>
      </c>
      <c r="D342" s="29">
        <v>1.4380694444444444E-2</v>
      </c>
      <c r="E342" t="b">
        <f t="shared" si="10"/>
        <v>1</v>
      </c>
      <c r="G342" t="b">
        <f t="shared" si="11"/>
        <v>0</v>
      </c>
      <c r="P342">
        <v>337</v>
      </c>
      <c r="Q342" s="23" t="s">
        <v>1141</v>
      </c>
      <c r="R342" s="29">
        <v>1.4358483796296298E-2</v>
      </c>
      <c r="S342" s="29">
        <v>1.4390821759259259E-2</v>
      </c>
    </row>
    <row r="343" spans="1:19" ht="28.8" x14ac:dyDescent="0.3">
      <c r="A343">
        <v>338</v>
      </c>
      <c r="B343" s="23" t="s">
        <v>1142</v>
      </c>
      <c r="C343" s="29">
        <v>1.4381168981481481E-2</v>
      </c>
      <c r="D343" s="29">
        <v>1.4415925925925926E-2</v>
      </c>
      <c r="E343" t="b">
        <f t="shared" si="10"/>
        <v>1</v>
      </c>
      <c r="G343" t="b">
        <f t="shared" si="11"/>
        <v>0</v>
      </c>
      <c r="P343">
        <v>338</v>
      </c>
      <c r="Q343" s="23" t="s">
        <v>1142</v>
      </c>
      <c r="R343" s="29">
        <v>1.439275462962963E-2</v>
      </c>
      <c r="S343" s="29">
        <v>1.4427511574074075E-2</v>
      </c>
    </row>
    <row r="344" spans="1:19" ht="28.8" x14ac:dyDescent="0.3">
      <c r="A344">
        <v>339</v>
      </c>
      <c r="B344" s="23" t="s">
        <v>1143</v>
      </c>
      <c r="C344" s="29">
        <v>1.4419791666666666E-2</v>
      </c>
      <c r="D344" s="29">
        <v>1.4460347222222222E-2</v>
      </c>
      <c r="E344" t="b">
        <f t="shared" si="10"/>
        <v>1</v>
      </c>
      <c r="G344" t="b">
        <f t="shared" si="11"/>
        <v>0</v>
      </c>
      <c r="P344">
        <v>339</v>
      </c>
      <c r="Q344" s="23" t="s">
        <v>1143</v>
      </c>
      <c r="R344" s="29">
        <v>1.4431377314814815E-2</v>
      </c>
      <c r="S344" s="29">
        <v>1.4471921296296297E-2</v>
      </c>
    </row>
    <row r="345" spans="1:19" ht="28.8" x14ac:dyDescent="0.3">
      <c r="A345">
        <v>340</v>
      </c>
      <c r="B345" s="23" t="s">
        <v>1144</v>
      </c>
      <c r="C345" s="29">
        <v>1.447E-2</v>
      </c>
      <c r="D345" s="29">
        <v>1.4504270833333334E-2</v>
      </c>
      <c r="E345" t="b">
        <f t="shared" si="10"/>
        <v>1</v>
      </c>
      <c r="G345" t="b">
        <f t="shared" si="11"/>
        <v>0</v>
      </c>
      <c r="P345">
        <v>340</v>
      </c>
      <c r="Q345" s="23" t="s">
        <v>1144</v>
      </c>
      <c r="R345" s="29">
        <v>1.4481574074074076E-2</v>
      </c>
      <c r="S345" s="29">
        <v>1.451439814814815E-2</v>
      </c>
    </row>
    <row r="346" spans="1:19" x14ac:dyDescent="0.3">
      <c r="A346">
        <v>341</v>
      </c>
      <c r="B346" s="23" t="s">
        <v>1145</v>
      </c>
      <c r="C346" s="29">
        <v>1.4504756944444445E-2</v>
      </c>
      <c r="D346" s="29">
        <v>1.4517789351851851E-2</v>
      </c>
      <c r="E346" t="b">
        <f t="shared" si="10"/>
        <v>1</v>
      </c>
      <c r="G346" t="b">
        <f t="shared" si="11"/>
        <v>0</v>
      </c>
      <c r="P346">
        <v>341</v>
      </c>
      <c r="Q346" s="23" t="s">
        <v>1145</v>
      </c>
      <c r="R346" s="29">
        <v>1.4516331018518519E-2</v>
      </c>
      <c r="S346" s="29">
        <v>1.4527916666666666E-2</v>
      </c>
    </row>
    <row r="347" spans="1:19" x14ac:dyDescent="0.3">
      <c r="A347">
        <v>342</v>
      </c>
      <c r="B347" s="23" t="s">
        <v>1146</v>
      </c>
      <c r="C347" s="29">
        <v>1.4518275462962962E-2</v>
      </c>
      <c r="D347" s="29">
        <v>1.4551099537037036E-2</v>
      </c>
      <c r="E347" t="b">
        <f t="shared" si="10"/>
        <v>1</v>
      </c>
      <c r="G347" t="b">
        <f t="shared" si="11"/>
        <v>0</v>
      </c>
      <c r="P347">
        <v>342</v>
      </c>
      <c r="Q347" s="23" t="s">
        <v>1146</v>
      </c>
      <c r="R347" s="29">
        <v>1.4529849537037036E-2</v>
      </c>
      <c r="S347" s="29">
        <v>1.4561226851851851E-2</v>
      </c>
    </row>
    <row r="348" spans="1:19" x14ac:dyDescent="0.3">
      <c r="A348">
        <v>343</v>
      </c>
      <c r="B348" s="23" t="s">
        <v>1147</v>
      </c>
      <c r="C348" s="29">
        <v>1.4551574074074074E-2</v>
      </c>
      <c r="D348" s="29">
        <v>1.4578124999999999E-2</v>
      </c>
      <c r="E348" t="b">
        <f t="shared" si="10"/>
        <v>1</v>
      </c>
      <c r="G348" t="b">
        <f t="shared" si="11"/>
        <v>0</v>
      </c>
      <c r="P348">
        <v>343</v>
      </c>
      <c r="Q348" s="23" t="s">
        <v>1147</v>
      </c>
      <c r="R348" s="29">
        <v>1.4563159722222222E-2</v>
      </c>
      <c r="S348" s="29">
        <v>1.4589710648148147E-2</v>
      </c>
    </row>
    <row r="349" spans="1:19" x14ac:dyDescent="0.3">
      <c r="A349">
        <v>344</v>
      </c>
      <c r="B349" s="23" t="s">
        <v>1148</v>
      </c>
      <c r="C349" s="29">
        <v>1.4630266203703704E-2</v>
      </c>
      <c r="D349" s="29">
        <v>1.4663090277777778E-2</v>
      </c>
      <c r="E349" t="b">
        <f t="shared" si="10"/>
        <v>1</v>
      </c>
      <c r="G349" t="b">
        <f t="shared" si="11"/>
        <v>0</v>
      </c>
      <c r="P349">
        <v>344</v>
      </c>
      <c r="Q349" s="23" t="s">
        <v>1148</v>
      </c>
      <c r="R349" s="29">
        <v>1.4641840277777778E-2</v>
      </c>
      <c r="S349" s="29">
        <v>1.4674675925925926E-2</v>
      </c>
    </row>
    <row r="350" spans="1:19" x14ac:dyDescent="0.3">
      <c r="A350">
        <v>345</v>
      </c>
      <c r="B350" s="23" t="s">
        <v>1149</v>
      </c>
      <c r="C350" s="29">
        <v>1.4693981481481481E-2</v>
      </c>
      <c r="D350" s="29">
        <v>1.471523148148148E-2</v>
      </c>
      <c r="E350" t="b">
        <f t="shared" si="10"/>
        <v>1</v>
      </c>
      <c r="G350" t="b">
        <f t="shared" si="11"/>
        <v>0</v>
      </c>
      <c r="P350">
        <v>345</v>
      </c>
      <c r="Q350" s="23" t="s">
        <v>1149</v>
      </c>
      <c r="R350" s="29">
        <v>1.4705567129629629E-2</v>
      </c>
      <c r="S350" s="29">
        <v>1.4726805555555555E-2</v>
      </c>
    </row>
  </sheetData>
  <autoFilter ref="A4:F350" xr:uid="{993563ED-FE96-489F-8D02-1A71E449041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5B019-AF94-4F00-8F9E-6DC924C4B46B}">
  <sheetPr codeName="Sheet5"/>
  <dimension ref="A2:A19"/>
  <sheetViews>
    <sheetView workbookViewId="0">
      <selection activeCell="I4" sqref="I4"/>
    </sheetView>
  </sheetViews>
  <sheetFormatPr defaultRowHeight="14.4" x14ac:dyDescent="0.3"/>
  <cols>
    <col min="1" max="1" width="16.6640625" customWidth="1"/>
  </cols>
  <sheetData>
    <row r="2" spans="1:1" x14ac:dyDescent="0.3">
      <c r="A2" s="1" t="s">
        <v>0</v>
      </c>
    </row>
    <row r="3" spans="1:1" x14ac:dyDescent="0.3">
      <c r="A3" s="2" t="str" cm="1">
        <f t="array" ref="A3:A5">Ws_WSListName()</f>
        <v>Video_syn</v>
      </c>
    </row>
    <row r="4" spans="1:1" x14ac:dyDescent="0.3">
      <c r="A4" s="2" t="str">
        <v>Sheet1</v>
      </c>
    </row>
    <row r="5" spans="1:1" x14ac:dyDescent="0.3">
      <c r="A5" s="2" t="str">
        <v>Button</v>
      </c>
    </row>
    <row r="6" spans="1:1" x14ac:dyDescent="0.3">
      <c r="A6" s="2"/>
    </row>
    <row r="7" spans="1:1" x14ac:dyDescent="0.3">
      <c r="A7" s="2"/>
    </row>
    <row r="8" spans="1:1" x14ac:dyDescent="0.3">
      <c r="A8" s="2"/>
    </row>
    <row r="9" spans="1:1" x14ac:dyDescent="0.3">
      <c r="A9" s="2"/>
    </row>
    <row r="10" spans="1:1" x14ac:dyDescent="0.3">
      <c r="A10" s="2"/>
    </row>
    <row r="11" spans="1:1" x14ac:dyDescent="0.3">
      <c r="A11" s="2"/>
    </row>
    <row r="12" spans="1:1" x14ac:dyDescent="0.3">
      <c r="A12" s="2"/>
    </row>
    <row r="13" spans="1:1" x14ac:dyDescent="0.3">
      <c r="A13" s="2"/>
    </row>
    <row r="14" spans="1:1" x14ac:dyDescent="0.3">
      <c r="A14" s="2"/>
    </row>
    <row r="15" spans="1:1" x14ac:dyDescent="0.3">
      <c r="A15" s="2"/>
    </row>
    <row r="16" spans="1:1" x14ac:dyDescent="0.3">
      <c r="A16" s="2"/>
    </row>
    <row r="17" spans="1:1" x14ac:dyDescent="0.3">
      <c r="A17" s="2"/>
    </row>
    <row r="18" spans="1:1" x14ac:dyDescent="0.3">
      <c r="A18" s="2"/>
    </row>
    <row r="19" spans="1:1" x14ac:dyDescent="0.3">
      <c r="A19" s="2"/>
    </row>
  </sheetData>
  <hyperlinks>
    <hyperlink ref="A3" location="Func!A1" display="Func!A1" xr:uid="{73CB93E5-A87C-4E65-91ED-054E97DD3EE1}"/>
    <hyperlink ref="A4" location="Link!A1" display="Link!A1" xr:uid="{69AF7197-9961-4C1C-A58B-FE58372D924C}"/>
    <hyperlink ref="A5" location="Next!A1" display="Next!A1" xr:uid="{0D818C97-1AED-49B4-80A2-4CAAA40901CD}"/>
    <hyperlink ref="A6" location="Version!A1" display="Version!A1" xr:uid="{F00C3983-BF60-42FF-9557-A5E414119424}"/>
    <hyperlink ref="A7" location="Vocab1!A1" display="Vocab1!A1" xr:uid="{44674C76-FDCA-423F-B020-2093FA91D332}"/>
    <hyperlink ref="A8" location="Button!A1" display="Button!A1" xr:uid="{CF518A47-8AEC-4E81-8209-807FBCF7BBC3}"/>
    <hyperlink ref="A9" location="Range!A1" display="Range!A1" xr:uid="{52ECD43B-BF12-4215-B49A-BEF032878F76}"/>
    <hyperlink ref="A10" location="sheet1!A1" display="sheet1!A1" xr:uid="{3248FBF3-CEB9-40B6-9DA7-ED866E1361E7}"/>
    <hyperlink ref="A11" location="Info!A1" display="Info!A1" xr:uid="{DDA80220-E74D-4F9F-BA62-AB936441460D}"/>
    <hyperlink ref="A12" location="gde_ods_vw!A1" display="gde_ods_vw!A1" xr:uid="{53CF6E0B-31B3-4C4A-9C2D-404F60A46EB9}"/>
    <hyperlink ref="A13" location="Test1!A1" display="Test1!A1" xr:uid="{CD519C2E-BB30-4DD1-AF76-376902A771EE}"/>
    <hyperlink ref="A14" location="'Sub1'!A1" display="'Sub1'!A1" xr:uid="{3DC11B48-1561-458D-9EF0-AB9F7322E3E7}"/>
    <hyperlink ref="A15" location="Test1!A1" display="Test1!A1" xr:uid="{C566A683-6B1B-4F1C-9269-96B6CCF8AD28}"/>
    <hyperlink ref="A16" location="DataOri!A1" display="DataOri!A1" xr:uid="{8454741D-0B51-4A26-BC12-412950978E73}"/>
    <hyperlink ref="A17" location="Data1!A1" display="Data1!A1" xr:uid="{6D3E8232-E280-4E68-B033-243F6BCA1D28}"/>
    <hyperlink ref="A18" location="Data2!A1" display="Data2!A1" xr:uid="{46D33359-CD86-4906-87DE-9CEF8FB54524}"/>
    <hyperlink ref="A19" location="Sheet2!A1" display="Sheet2!A1" xr:uid="{8D2D28CA-E689-4CE6-9057-716B9C28AC1A}"/>
  </hyperlink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AFEJSONBlob>
</file>

<file path=customXml/itemProps1.xml><?xml version="1.0" encoding="utf-8"?>
<ds:datastoreItem xmlns:ds="http://schemas.openxmlformats.org/officeDocument/2006/customXml" ds:itemID="{6FDDCF23-DC28-468C-8A07-B6665A1275D9}">
  <ds:schemaRefs>
    <ds:schemaRef ds:uri="http://schemas.microsoft.com/DataMashup"/>
  </ds:schemaRefs>
</ds:datastoreItem>
</file>

<file path=customXml/itemProps2.xml><?xml version="1.0" encoding="utf-8"?>
<ds:datastoreItem xmlns:ds="http://schemas.openxmlformats.org/officeDocument/2006/customXml" ds:itemID="{F9AF9386-BEC9-4C74-A628-B2A97F12363B}">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Video_syn</vt:lpstr>
      <vt:lpstr>German</vt:lpstr>
      <vt:lpstr>Sheet1</vt:lpstr>
      <vt:lpstr>Sheet2</vt:lpstr>
      <vt:lpstr>S01E01</vt:lpstr>
      <vt:lpstr>S02E01</vt:lpstr>
      <vt:lpstr>Button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Heng2020</dc:creator>
  <cp:keywords/>
  <dc:description/>
  <cp:lastModifiedBy>Dear Norathee</cp:lastModifiedBy>
  <cp:revision/>
  <dcterms:created xsi:type="dcterms:W3CDTF">2015-06-05T18:17:20Z</dcterms:created>
  <dcterms:modified xsi:type="dcterms:W3CDTF">2025-09-19T08:13:50Z</dcterms:modified>
  <cp:category/>
  <cp:contentStatus/>
</cp:coreProperties>
</file>