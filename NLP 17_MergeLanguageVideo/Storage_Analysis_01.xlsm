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d.docs.live.net/B77F1FD521BEB67C/D_Code/Python/Python NLP/NLP 02/NLP_2024/NLP 17_MergeLanguageVideo/"/>
    </mc:Choice>
  </mc:AlternateContent>
  <xr:revisionPtr revIDLastSave="939" documentId="8_{5096F8C4-F611-4CAC-96E8-21AABC23EF6D}" xr6:coauthVersionLast="47" xr6:coauthVersionMax="47" xr10:uidLastSave="{811958A6-32D3-4B1B-8270-C4ADB29E942F}"/>
  <bookViews>
    <workbookView xWindow="-38490" yWindow="-1520" windowWidth="38580" windowHeight="21060" tabRatio="732" activeTab="2" xr2:uid="{00000000-000D-0000-FFFF-FFFF00000000}"/>
  </bookViews>
  <sheets>
    <sheet name="Sheet1" sheetId="69" r:id="rId1"/>
    <sheet name="2025_07_20" sheetId="78" r:id="rId2"/>
    <sheet name="2025_08_11" sheetId="79" r:id="rId3"/>
    <sheet name="2025_08_31" sheetId="81" r:id="rId4"/>
    <sheet name="Sheet2" sheetId="72" r:id="rId5"/>
    <sheet name="BigBang" sheetId="75" r:id="rId6"/>
    <sheet name="The 100" sheetId="76" r:id="rId7"/>
    <sheet name="Sheet3" sheetId="73" r:id="rId8"/>
    <sheet name="Analysis" sheetId="77" r:id="rId9"/>
    <sheet name="Button" sheetId="70" r:id="rId10"/>
  </sheets>
  <functionGroups builtInGroupCount="19"/>
  <externalReferences>
    <externalReference r:id="rId11"/>
    <externalReference r:id="rId12"/>
    <externalReference r:id="rId13"/>
  </externalReferences>
  <definedNames>
    <definedName name="_xlnm._FilterDatabase" localSheetId="1" hidden="1">'2025_07_20'!$A$39:$C$49</definedName>
    <definedName name="_xlnm._FilterDatabase" localSheetId="2" hidden="1">'2025_08_11'!$A$48:$F$64</definedName>
    <definedName name="_xlnm._FilterDatabase" localSheetId="0" hidden="1">Sheet1!$A$1:$D$14</definedName>
    <definedName name="_xleta.MAP" hidden="1" xlm="1">#NAME?</definedName>
    <definedName name="_xlop.add_right" hidden="1" xlm="1">#NAME?</definedName>
    <definedName name="_xlop.case_sensitive" hidden="1" xlm="1">#NAME?</definedName>
    <definedName name="_xlop.earnix_name" hidden="1" xlm="1">#NAME?</definedName>
    <definedName name="_xlop.emblem_name" hidden="1" xlm="1">#NAME?</definedName>
    <definedName name="_xlop.equal_as_lower_val" hidden="1" xlm="1">#NAME?</definedName>
    <definedName name="_xlop.feature_row" hidden="1" xlm="1">#NAME?</definedName>
    <definedName name="_xlop.fill_na" hidden="1" xlm="1">#NAME?</definedName>
    <definedName name="_xlop.fixed_col" hidden="1" xlm="1">#NAME?</definedName>
    <definedName name="_xlop.fixed_row" hidden="1" xlm="1">#NAME?</definedName>
    <definedName name="_xlop.folder" hidden="1" xlm="1">#NAME?</definedName>
    <definedName name="_xlop.group_name" hidden="1" xlm="1">#NAME?</definedName>
    <definedName name="_xlop.inline" hidden="1" xlm="1">#NAME?</definedName>
    <definedName name="_xlop.language" hidden="1" xlm="1">#NAME?</definedName>
    <definedName name="_xlop.less_than_sign" hidden="1" xlm="1">#NAME?</definedName>
    <definedName name="_xlop.lookup_name" hidden="1" xlm="1">#NAME?</definedName>
    <definedName name="_xlop.match_type" hidden="1" xlm="1">#NAME?</definedName>
    <definedName name="_xlop.more_than_sign" hidden="1" xlm="1">#NAME?</definedName>
    <definedName name="_xlop.n" hidden="1" xlm="1">#NAME?</definedName>
    <definedName name="_xlop.n_col" hidden="1" xlm="1">#NAME?</definedName>
    <definedName name="_xlop.num_as_string" hidden="1" xlm="1">#NAME?</definedName>
    <definedName name="_xlop.quote_type" hidden="1" xlm="1">#NAME?</definedName>
    <definedName name="_xlop.start_level_row" hidden="1" xlm="1">#NAME?</definedName>
    <definedName name="_xlop.title" hidden="1" xlm="1">#NAME?</definedName>
    <definedName name="_xlop.vertical" hidden="1" xlm="1">#NAME?</definedName>
    <definedName name="_xlop.wb" hidden="1" xlm="1">#NAME?</definedName>
    <definedName name="_xlop.ws" hidden="1" xlm="1">#NAME?</definedName>
    <definedName name="_xlpm.a" hidden="1" xlm="1">#NAME?</definedName>
    <definedName name="_xlpm.accum" hidden="1" xlm="1">#NAME?</definedName>
    <definedName name="_xlpm.add_right" hidden="1" xlm="1">#NAME?</definedName>
    <definedName name="_xlpm.address" hidden="1" xlm="1">#NAME?</definedName>
    <definedName name="_xlpm.adr" hidden="1" xlm="1">#NAME?</definedName>
    <definedName name="_xlpm.adr_1" hidden="1" xlm="1">#NAME?</definedName>
    <definedName name="_xlpm.adr_2" hidden="1" xlm="1">#NAME?</definedName>
    <definedName name="_xlpm.adr_beta_from" hidden="1" xlm="1">#NAME?</definedName>
    <definedName name="_xlpm.adr_beta_to" hidden="1" xlm="1">#NAME?</definedName>
    <definedName name="_xlpm.adr_level_from" hidden="1" xlm="1">#NAME?</definedName>
    <definedName name="_xlpm.adr_level_to" hidden="1" xlm="1">#NAME?</definedName>
    <definedName name="_xlpm.after" hidden="1" xlm="1">#NAME?</definedName>
    <definedName name="_xlpm.ans" hidden="1" xlm="1">#NAME?</definedName>
    <definedName name="_xlpm.arr" hidden="1" xlm="1">#NAME?</definedName>
    <definedName name="_xlpm.array" hidden="1" xlm="1">#NAME?</definedName>
    <definedName name="_xlpm.before" hidden="1" xlm="1">#NAME?</definedName>
    <definedName name="_xlpm.beta_rng" hidden="1" xlm="1">#NAME?</definedName>
    <definedName name="_xlpm.boolean_filter" hidden="1" xlm="1">#NAME?</definedName>
    <definedName name="_xlpm.c" hidden="1" xlm="1">#NAME?</definedName>
    <definedName name="_xlpm.candidates" hidden="1" xlm="1">#NAME?</definedName>
    <definedName name="_xlpm.case_sensitive" hidden="1" xlm="1">#NAME?</definedName>
    <definedName name="_xlpm.cell" hidden="1" xlm="1">#NAME?</definedName>
    <definedName name="_xlpm.ch" hidden="1" xlm="1">#NAME?</definedName>
    <definedName name="_xlpm.checker" hidden="1" xlm="1">#NAME?</definedName>
    <definedName name="_xlpm.chord" hidden="1" xlm="1">#NAME?</definedName>
    <definedName name="_xlpm.chord_txt" hidden="1" xlm="1">#NAME?</definedName>
    <definedName name="_xlpm.col" hidden="1" xlm="1">#NAME?</definedName>
    <definedName name="_xlpm.col_checker" hidden="1" xlm="1">#NAME?</definedName>
    <definedName name="_xlpm.col_found" hidden="1" xlm="1">#NAME?</definedName>
    <definedName name="_xlpm.col_index" hidden="1" xlm="1">#NAME?</definedName>
    <definedName name="_xlpm.col_label" hidden="1" xlm="1">#NAME?</definedName>
    <definedName name="_xlpm.col_letter" hidden="1" xlm="1">#NAME?</definedName>
    <definedName name="_xlpm.col_name" hidden="1" xlm="1">#NAME?</definedName>
    <definedName name="_xlpm.col_rep" hidden="1" xlm="1">#NAME?</definedName>
    <definedName name="_xlpm.compare" hidden="1" xlm="1">#NAME?</definedName>
    <definedName name="_xlpm.compare_value" hidden="1" xlm="1">#NAME?</definedName>
    <definedName name="_xlpm.count_elements" hidden="1" xlm="1">#NAME?</definedName>
    <definedName name="_xlpm.differences" hidden="1" xlm="1">#NAME?</definedName>
    <definedName name="_xlpm.earnix_name" hidden="1" xlm="1">#NAME?</definedName>
    <definedName name="_xlpm.emblem_name" hidden="1" xlm="1">#NAME?</definedName>
    <definedName name="_xlpm.end_with" hidden="1" xlm="1">#NAME?</definedName>
    <definedName name="_xlpm.equal_as_lower_val" hidden="1" xlm="1">#NAME?</definedName>
    <definedName name="_xlpm.escaped_pattern" hidden="1" xlm="1">#NAME?</definedName>
    <definedName name="_xlpm.exclude" hidden="1" xlm="1">#NAME?</definedName>
    <definedName name="_xlpm.feature" hidden="1" xlm="1">#NAME?</definedName>
    <definedName name="_xlpm.feature_f" hidden="1" xlm="1">#NAME?</definedName>
    <definedName name="_xlpm.feature_list" hidden="1" xlm="1">#NAME?</definedName>
    <definedName name="_xlpm.feature_row" hidden="1" xlm="1">#NAME?</definedName>
    <definedName name="_xlpm.feature1" hidden="1" xlm="1">#NAME?</definedName>
    <definedName name="_xlpm.feature2" hidden="1" xlm="1">#NAME?</definedName>
    <definedName name="_xlpm.fill_na" hidden="1" xlm="1">#NAME?</definedName>
    <definedName name="_xlpm.final_prompt" hidden="1" xlm="1">#NAME?</definedName>
    <definedName name="_xlpm.first_row" hidden="1" xlm="1">#NAME?</definedName>
    <definedName name="_xlpm.fixed_col" hidden="1" xlm="1">#NAME?</definedName>
    <definedName name="_xlpm.fixed_row" hidden="1" xlm="1">#NAME?</definedName>
    <definedName name="_xlpm.folder" hidden="1" xlm="1">#NAME?</definedName>
    <definedName name="_xlpm.folder_" hidden="1" xlm="1">#NAME?</definedName>
    <definedName name="_xlpm.group" hidden="1" xlm="1">#NAME?</definedName>
    <definedName name="_xlpm.group_name" hidden="1" xlm="1">#NAME?</definedName>
    <definedName name="_xlpm.index_level" hidden="1" xlm="1">#NAME?</definedName>
    <definedName name="_xlpm.index_seq" hidden="1" xlm="1">#NAME?</definedName>
    <definedName name="_xlpm.inline" hidden="1" xlm="1">#NAME?</definedName>
    <definedName name="_xlpm.input" hidden="1" xlm="1">#NAME?</definedName>
    <definedName name="_xlpm.input_text" hidden="1" xlm="1">#NAME?</definedName>
    <definedName name="_xlpm.interaction" hidden="1" xlm="1">#NAME?</definedName>
    <definedName name="_xlpm.keys" hidden="1" xlm="1">#NAME?</definedName>
    <definedName name="_xlpm.language" hidden="1" xlm="1">#NAME?</definedName>
    <definedName name="_xlpm.less_than_in" hidden="1" xlm="1">#NAME?</definedName>
    <definedName name="_xlpm.less_than_sign" hidden="1" xlm="1">#NAME?</definedName>
    <definedName name="_xlpm.level" hidden="1" xlm="1">#NAME?</definedName>
    <definedName name="_xlpm.level_col" hidden="1" xlm="1">#NAME?</definedName>
    <definedName name="_xlpm.level_rng" hidden="1" xlm="1">#NAME?</definedName>
    <definedName name="_xlpm.level_row" hidden="1" xlm="1">#NAME?</definedName>
    <definedName name="_xlpm.look_arr" hidden="1" xlm="1">#NAME?</definedName>
    <definedName name="_xlpm.lookup_array" hidden="1" xlm="1">#NAME?</definedName>
    <definedName name="_xlpm.lookup_name" hidden="1" xlm="1">#NAME?</definedName>
    <definedName name="_xlpm.lookup_value" hidden="1" xlm="1">#NAME?</definedName>
    <definedName name="_xlpm.lower_bound" hidden="1" xlm="1">#NAME?</definedName>
    <definedName name="_xlpm.m" hidden="1" xlm="1">#NAME?</definedName>
    <definedName name="_xlpm.match_type" hidden="1" xlm="1">#NAME?</definedName>
    <definedName name="_xlpm.min_difference" hidden="1" xlm="1">#NAME?</definedName>
    <definedName name="_xlpm.more_than_in" hidden="1" xlm="1">#NAME?</definedName>
    <definedName name="_xlpm.more_than_sign" hidden="1" xlm="1">#NAME?</definedName>
    <definedName name="_xlpm.my_col" hidden="1" xlm="1">#NAME?</definedName>
    <definedName name="_xlpm.my_row" hidden="1" xlm="1">#NAME?</definedName>
    <definedName name="_xlpm.n" hidden="1" xlm="1">#NAME?</definedName>
    <definedName name="_xlpm.n_col" hidden="1" xlm="1">#NAME?</definedName>
    <definedName name="_xlpm.n_elements" hidden="1" xlm="1">#NAME?</definedName>
    <definedName name="_xlpm.n_options" hidden="1" xlm="1">#NAME?</definedName>
    <definedName name="_xlpm.n_row" hidden="1" xlm="1">#NAME?</definedName>
    <definedName name="_xlpm.new" hidden="1" xlm="1">#NAME?</definedName>
    <definedName name="_xlpm.new_key" hidden="1" xlm="1">#NAME?</definedName>
    <definedName name="_xlpm.NoSpaceLength" hidden="1" xlm="1">#NAME?</definedName>
    <definedName name="_xlpm.num_as_string" hidden="1" xlm="1">#NAME?</definedName>
    <definedName name="_xlpm.num_sheet" hidden="1" xlm="1">#NAME?</definedName>
    <definedName name="_xlpm.old_key" hidden="1" xlm="1">#NAME?</definedName>
    <definedName name="_xlpm.operator" hidden="1" xlm="1">#NAME?</definedName>
    <definedName name="_xlpm.output" hidden="1" xlm="1">#NAME?</definedName>
    <definedName name="_xlpm.pattern" hidden="1" xlm="1">#NAME?</definedName>
    <definedName name="_xlpm.prompt_text" hidden="1" xlm="1">#NAME?</definedName>
    <definedName name="_xlpm.prompt_word" hidden="1" xlm="1">#NAME?</definedName>
    <definedName name="_xlpm.prompt1" hidden="1" xlm="1">#NAME?</definedName>
    <definedName name="_xlpm.prompt2" hidden="1" xlm="1">#NAME?</definedName>
    <definedName name="_xlpm.prompt3" hidden="1" xlm="1">#NAME?</definedName>
    <definedName name="_xlpm.prompt4" hidden="1" xlm="1">#NAME?</definedName>
    <definedName name="_xlpm.prompt5" hidden="1" xlm="1">#NAME?</definedName>
    <definedName name="_xlpm.prompt6" hidden="1" xlm="1">#NAME?</definedName>
    <definedName name="_xlpm.prompt7" hidden="1" xlm="1">#NAME?</definedName>
    <definedName name="_xlpm.quote_type" hidden="1" xlm="1">#NAME?</definedName>
    <definedName name="_xlpm.r" hidden="1" xlm="1">#NAME?</definedName>
    <definedName name="_xlpm.range" hidden="1" xlm="1">#NAME?</definedName>
    <definedName name="_xlpm.result" hidden="1" xlm="1">#NAME?</definedName>
    <definedName name="_xlpm.return_arr" hidden="1" xlm="1">#NAME?</definedName>
    <definedName name="_xlpm.return_array" hidden="1" xlm="1">#NAME?</definedName>
    <definedName name="_xlpm.rng_1" hidden="1" xlm="1">#NAME?</definedName>
    <definedName name="_xlpm.row" hidden="1" xlm="1">#NAME?</definedName>
    <definedName name="_xlpm.row_checker" hidden="1" xlm="1">#NAME?</definedName>
    <definedName name="_xlpm.row_found" hidden="1" xlm="1">#NAME?</definedName>
    <definedName name="_xlpm.row_index" hidden="1" xlm="1">#NAME?</definedName>
    <definedName name="_xlpm.row_label" hidden="1" xlm="1">#NAME?</definedName>
    <definedName name="_xlpm.row_name" hidden="1" xlm="1">#NAME?</definedName>
    <definedName name="_xlpm.row_number" hidden="1" xlm="1">#NAME?</definedName>
    <definedName name="_xlpm.row_rep" hidden="1" xlm="1">#NAME?</definedName>
    <definedName name="_xlpm.search_rng" hidden="1" xlm="1">#NAME?</definedName>
    <definedName name="_xlpm.seed" hidden="1" xlm="1">#NAME?</definedName>
    <definedName name="_xlpm.sentence" hidden="1" xlm="1">#NAME?</definedName>
    <definedName name="_xlpm.sentence_list" hidden="1" xlm="1">#NAME?</definedName>
    <definedName name="_xlpm.sentence1" hidden="1" xlm="1">#NAME?</definedName>
    <definedName name="_xlpm.sentence2" hidden="1" xlm="1">#NAME?</definedName>
    <definedName name="_xlpm.shift" hidden="1" xlm="1">#NAME?</definedName>
    <definedName name="_xlpm.simp" hidden="1" xlm="1">#NAME?</definedName>
    <definedName name="_xlpm.start_level_row" hidden="1" xlm="1">#NAME?</definedName>
    <definedName name="_xlpm.start_with" hidden="1" xlm="1">#NAME?</definedName>
    <definedName name="_xlpm.table" hidden="1" xlm="1">#NAME?</definedName>
    <definedName name="_xlpm.text" hidden="1" xlm="1">#NAME?</definedName>
    <definedName name="_xlpm.title" hidden="1" xlm="1">#NAME?</definedName>
    <definedName name="_xlpm.to_show" hidden="1" xlm="1">#NAME?</definedName>
    <definedName name="_xlpm.trad" hidden="1" xlm="1">#NAME?</definedName>
    <definedName name="_xlpm.TrimmedLength" hidden="1" xlm="1">#NAME?</definedName>
    <definedName name="_xlpm.TrimmedText" hidden="1" xlm="1">#NAME?</definedName>
    <definedName name="_xlpm.upper_bound" hidden="1" xlm="1">#NAME?</definedName>
    <definedName name="_xlpm.vals" hidden="1" xlm="1">#NAME?</definedName>
    <definedName name="_xlpm.value" hidden="1" xlm="1">#NAME?</definedName>
    <definedName name="_xlpm.value_array" hidden="1" xlm="1">#NAME?</definedName>
    <definedName name="_xlpm.value_list" hidden="1" xlm="1">#NAME?</definedName>
    <definedName name="_xlpm.value_table" hidden="1" xlm="1">#NAME?</definedName>
    <definedName name="_xlpm.values" hidden="1" xlm="1">#NAME?</definedName>
    <definedName name="_xlpm.values_include" hidden="1" xlm="1">#NAME?</definedName>
    <definedName name="_xlpm.verb" hidden="1" xlm="1">#NAME?</definedName>
    <definedName name="_xlpm.vertical" hidden="1" xlm="1">#NAME?</definedName>
    <definedName name="_xlpm.vocab" hidden="1" xlm="1">#NAME?</definedName>
    <definedName name="_xlpm.wb" hidden="1" xlm="1">#NAME?</definedName>
    <definedName name="_xlpm.wb_bracket" hidden="1" xlm="1">#NAME?</definedName>
    <definedName name="_xlpm.word" hidden="1" xlm="1">#NAME?</definedName>
    <definedName name="_xlpm.ws" hidden="1" xlm="1">#NAME?</definedName>
    <definedName name="_xlpm.ws_name" hidden="1" xlm="1">#NAME?</definedName>
    <definedName name="_xlpm.x" hidden="1" xlm="1">#NAME?</definedName>
    <definedName name="_xlpm.y" hidden="1" xlm="1">#NAME?</definedName>
    <definedName name="A_AllSame" localSheetId="9">_xlfn.LAMBDA(_xlpm.array, _xlfn.LET(_xlpm.array,_xlpm.array, COUNTIF(_xlpm.array,INDEX(_xlpm.array,1)) = COUNTA(_xlpm.array)))</definedName>
    <definedName name="A_AllSame">_xlfn.LAMBDA(_xlpm.array, _xlfn.LET(_xlpm.array,_xlpm.array, COUNTIF(_xlpm.array,INDEX(_xlpm.array,1)) = COUNTA(_xlpm.array)))</definedName>
    <definedName name="A_Duplicate_f" comment="the duplication but using LAMBDA to improve the speed" localSheetId="9">_xlfn.LAMBDA(_xlpm.arr,_xlop.n,_xlfn.LET(_xlpm.arr, _xlpm.arr, _xlpm.n, IF(_xlfn.ISOMITTED(_xlpm.n), 1, _xlpm.n), _xlpm.n_elements, Button!D_CountCells(_xlpm.arr),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A_Duplicate_f" comment="the duplication but using LAMBDA to improve the speed">_xlfn.LAMBDA(_xlpm.arr,_xlop.n,_xlfn.LET(_xlpm.arr, _xlpm.arr, _xlpm.n, IF(_xlfn.ISOMITTED(_xlpm.n), 1, _xlpm.n), _xlpm.n_elements, D_CountCells(_xlpm.arr), _xlpm.index_seq, _xlfn.MAKEARRAY(_xlpm.n * _xlpm.n_elements, 1, _xlfn.LAMBDA(_xlpm.r,_xlpm.c, IF(MOD(_xlpm.r, _xlpm.n_elements) &lt;&gt; 0, MOD(_xlpm.r, _xlpm.n_elements), _xlpm.n_elements))), _xlpm.ans, INDEX(_xlpm.arr, _xlpm.index_seq), _xlpm.ans))</definedName>
    <definedName name="D_CountCells" comment="count the includes empty cells" localSheetId="9">_xlfn.LAMBDA(_xlpm.rng_1,ROWS(_xlpm.rng_1) * COLUMNS(_xlpm.rng_1))</definedName>
    <definedName name="D_CountCells" comment="count the includes empty cells">_xlfn.LAMBDA(_xlpm.rng_1,ROWS(_xlpm.rng_1) * COLUMNS(_xlpm.rng_1))</definedName>
    <definedName name="D_DeleteBlank" comment="Delete the blank rows" localSheetId="9">_xlfn.LAMBDA(_xlpm.input,_xlfn._xlws.FILTER(_xlpm.input, _xlpm.input &lt;&gt; "", ""))</definedName>
    <definedName name="D_DeleteBlank" comment="Delete the blank rows">_xlfn.LAMBDA(_xlpm.input,_xlfn._xlws.FILTER(_xlpm.input, _xlpm.input &lt;&gt; "", ""))</definedName>
    <definedName name="D_isTradition" comment="No Dependency" localSheetId="9">_xlfn.LAMBDA(_xlpm.trad,_xlpm.simp, IF(_xlpm.trad=_xlpm.simp,"",_xlpm.trad))</definedName>
    <definedName name="D_isTradition" comment="No Dependency">_xlfn.LAMBDA(_xlpm.trad,_xlpm.simp, IF(_xlpm.trad=_xlpm.simp,"",_xlpm.trad))</definedName>
    <definedName name="D_IsZero" localSheetId="9">_xlfn.LAMBDA(_xlpm.range, IF( (_xlpm.range=0)*NOT(ISBLANK(_xlpm.range)), TRUE, FALSE)  )</definedName>
    <definedName name="D_IsZero">_xlfn.LAMBDA(_xlpm.range, IF( (_xlpm.range=0)*NOT(ISBLANK(_xlpm.range)), TRUE, FALSE)  )</definedName>
    <definedName name="D_pseudo" comment="No Dependency" localSheetId="9">_xlfn.LAMBDA(_xlpm.x,   _xlfn.LET(_xlpm.a,75,_xlpm.c,74,_xlpm.m,65537,  MOD(_xlpm.a*_xlpm.x+_xlpm.c,_xlpm.m)))</definedName>
    <definedName name="D_pseudo" comment="No Dependency">_xlfn.LAMBDA(_xlpm.x,   _xlfn.LET(_xlpm.a,75,_xlpm.c,74,_xlpm.m,65537,  MOD(_xlpm.a*_xlpm.x+_xlpm.c,_xlpm.m)))</definedName>
    <definedName name="D_RandRank" comment="No Dependency" localSheetId="9">_xlfn.LAMBDA(_xlpm.n, _xlfn.SORTBY(_xlfn.SEQUENCE(_xlpm.n),_xlfn.RANDARRAY(_xlpm.n)))</definedName>
    <definedName name="D_RandRank" comment="No Dependency">_xlfn.LAMBDA(_xlpm.n, _xlfn.SORTBY(_xlfn.SEQUENCE(_xlpm.n),_xlfn.RANDARRAY(_xlpm.n)))</definedName>
    <definedName name="D_Rept" localSheetId="9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Rept">_xlfn.LAMBDA(_xlpm.text,_xlpm.n_row,_xlop.n_col,IF(_xlfn.ISOMITTED(_xlpm.n_col), INDEX(_xlfn.SWITCH(_xlfn.SEQUENCE(_xlpm.n_row, _xlpm.n_col, 1, 0), 1, _xlpm.text), ), INDEX(_xlfn.SWITCH(_xlfn.SEQUENCE(_xlpm.n_row, 1, 1, 0), 1, _xlpm.text), )))</definedName>
    <definedName name="D_ShowHide" localSheetId="9">_xlfn.LAMBDA(_xlpm.checker,_xlpm.to_show,_xlpm.look_arr,_xlpm.return_arr,IF(_xlpm.checker = 0, "", _xlfn.XLOOKUP(_xlpm.to_show, _xlpm.look_arr, _xlpm.return_arr)))</definedName>
    <definedName name="D_ShowHide">_xlfn.LAMBDA(_xlpm.checker,_xlpm.to_show,_xlpm.look_arr,_xlpm.return_arr,IF(_xlpm.checker = 0, "", _xlfn.XLOOKUP(_xlpm.to_show, _xlpm.look_arr, _xlpm.return_arr)))</definedName>
    <definedName name="D_Shuffle" comment="No Dependency" localSheetId="9">_xlfn.LAMBDA(_xlpm.arr,   _xlfn.SORTBY(_xlpm.arr,_xlfn.RANDARRAY(ROWS(_xlpm.arr))))</definedName>
    <definedName name="D_Shuffle" comment="No Dependency">_xlfn.LAMBDA(_xlpm.arr,   _xlfn.SORTBY(_xlpm.arr,_xlfn.RANDARRAY(ROWS(_xlpm.arr))))</definedName>
    <definedName name="D_start_srand" comment="No Dependency" localSheetId="9">_xlfn.LAMBDA(_xlpm.n,   Button!D_pseudo(Button!D_pseudo(Button!D_pseudo(_xlpm.n))))</definedName>
    <definedName name="D_start_srand" comment="No Dependency">_xlfn.LAMBDA(_xlpm.n,   D_pseudo(D_pseudo(D_pseudo(_xlpm.n))))</definedName>
    <definedName name="D_toSecond" localSheetId="9">_xlfn.LAMBDA(_xlpm.x,   _xlfn.FLOOR.MATH(_xlpm.x)*60+MOD(_xlpm.x*100,100))</definedName>
    <definedName name="D_toSecond">_xlfn.LAMBDA(_xlpm.x,   _xlfn.FLOOR.MATH(_xlpm.x)*60+MOD(_xlpm.x*100,100))</definedName>
    <definedName name="DuolingoPT" localSheetId="9">_xlfn.LAMBDA(_xlpm.vocab,_xlpm.output, IF(_xlpm.output=0,_xlfn.XLOOKUP(_xlpm.vocab,VocabA,VocabB,"Not in Duolingo",2), _xlfn.XLOOKUP(_xlpm.vocab,VocabA,VocabC,"Not in Duolingo",2)))</definedName>
    <definedName name="DuolingoPT">_xlfn.LAMBDA(_xlpm.vocab,_xlpm.output, IF(_xlpm.output=0,_xlfn.XLOOKUP(_xlpm.vocab,VocabA,VocabB,"Not in Duolingo",2), _xlfn.XLOOKUP(_xlpm.vocab,VocabA,VocabC,"Not in Duolingo",2)))</definedName>
    <definedName name="FD_ContainText" localSheetId="9">_xlfn.LAMBDA(_xlpm.text,_xlpm.pattern,_xlfn._xlws.FILTER(_xlpm.text, St_ContainText(_xlpm.text, _xlpm.pattern)))</definedName>
    <definedName name="FD_ContainText">_xlfn.LAMBDA(_xlpm.text,_xlpm.pattern,_xlfn._xlws.FILTER(_xlpm.text, St_ContainText(_xlpm.text, _xlpm.pattern)))</definedName>
    <definedName name="FD_EndWith" localSheetId="9">_xlfn.LAMBDA(_xlpm.text,_xlpm.end_with,_xlfn._xlws.FILTER(_xlpm.text, St_EndWith(_xlpm.text, _xlpm.end_with)))</definedName>
    <definedName name="FD_EndWith">_xlfn.LAMBDA(_xlpm.text,_xlpm.end_with,_xlfn._xlws.FILTER(_xlpm.text, St_EndWith(_xlpm.text, _xlpm.end_with)))</definedName>
    <definedName name="FD_StartWith" localSheetId="9">_xlfn.LAMBDA(_xlpm.text,_xlpm.start_with,_xlfn._xlws.FILTER(_xlpm.text, St_StartWith(_xlpm.text, _xlpm.start_with)))</definedName>
    <definedName name="FD_StartWith">_xlfn.LAMBDA(_xlpm.text,_xlpm.start_with,_xlfn._xlws.FILTER(_xlpm.text, St_StartWith(_xlpm.text, _xlpm.start_with)))</definedName>
    <definedName name="FG_FindInteractionCol" localSheetId="9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Button!St_RemoveNum( SUBSTITUTE(CELL("address",_xlfn.XLOOKUP(_xlpm.feature1,_xlpm.search_rng,_xlpm.search_rng)),"$","")), ""), _xlpm.adr_2,  IFERROR( Button!St_RemoveNum( SUBSTITUTE(CELL("address",_xlfn.XLOOKUP(_xlpm.feature2,_xlpm.search_rng,_xlpm.search_rng)),"$","")), ""),  _xlpm.adr_1 &amp; " * " &amp; _xlpm.adr_2 ))</definedName>
    <definedName name="FG_FindInteractionCol">_xlfn.LAMBDA(_xlpm.interaction,_xlpm.search_rng, _xlfn.LET(_xlpm.interaction,_xlpm.interaction, _xlpm.feature1, TRIM(_xlfn.TEXTBEFORE(_xlpm.interaction,"*")), _xlpm.feature2, TRIM(_xlfn.TEXTAFTER(_xlpm.interaction,"*")), _xlpm.search_rng,  _xlpm.search_rng,  _xlpm.adr_1,  IFERROR( St_RemoveNum( SUBSTITUTE(CELL("address",_xlfn.XLOOKUP(_xlpm.feature1,_xlpm.search_rng,_xlpm.search_rng)),"$","")), ""), _xlpm.adr_2,  IFERROR( St_RemoveNum( SUBSTITUTE(CELL("address",_xlfn.XLOOKUP(_xlpm.feature2,_xlpm.search_rng,_xlpm.search_rng)),"$","")), ""),  _xlpm.adr_1 &amp; " * " &amp; _xlpm.adr_2 ))</definedName>
    <definedName name="FG_Interaction" comment="find interaction for emblem betas" localSheetId="9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G_Interaction" comment="find interaction for emblem betas">_xlfn.LAMBDA(_xlpm.level_row,_xlpm.level_col,_xlpm.interaction,_xlpm.num_sheet,_xlop.group_name,_xlop.lookup_name,_xlfn.LET(_xlpm.level_row, _xlpm.level_row, _xlpm.level_col, _xlpm.level_col, _xlpm.interaction, _xlpm.interaction, _xlpm.num_sheet, _xlpm.num_sheet, _xlpm.group_name, _xlpm.group_name, _xlpm.lookup_name, _xlpm.lookup_name, FG_InteractionVB(_xlpm.level_row, _xlpm.level_col, _xlpm.interaction, _xlpm.num_sheet, _xlpm.group_name, _xlpm.lookup_name)))</definedName>
    <definedName name="Fl_Between" comment="Filter between values, default will include lower_bound and upper_bound value" localSheetId="9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Button!Fl_BetweenOperator(_xlpm.value_array, _xlpm.lower_bound, _xlpm.upper_bound, _xlpm.more_than_sign, _xlpm.less_than_sign))))</definedName>
    <definedName name="Fl_Between" comment="Filter between values, default will include lower_bound and upper_bound value">_xlfn.LAMBDA(_xlpm.array,_xlpm.value_array,_xlpm.lower_bound,_xlpm.upper_bound,_xlop.more_than_sign,_xlop.less_than_sign,_xlfn.LET(_xlpm.array, _xlpm.array, _xlpm.value_array, _xlpm.value_array, _xlpm.lower_bound, _xlpm.lower_bound, _xlpm.upper_bound, _xlpm.upper_bound, _xlpm.more_than_sign, IF(_xlfn.ISOMITTED(_xlpm.more_than_sign), "&gt;=", _xlpm.more_than_sign), _xlpm.less_than_sign, IF(_xlfn.ISOMITTED(_xlpm.less_than_sign), "&lt;=", _xlpm.less_than_sign), _xlfn._xlws.FILTER(_xlpm.array, Fl_BetweenOperator(_xlpm.value_array, _xlpm.lower_bound, _xlpm.upper_bound, _xlpm.more_than_sign, _xlpm.less_than_sign))))</definedName>
    <definedName name="Fl_BetweenOperator" comment="Helper function for Fl_Compare that will allow users to change the operator from _x000a_using between(2 conditions with and)" localSheetId="9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BetweenOperator" comment="Helper function for Fl_Compare that will allow users to change the operator from _x000a_using between(2 conditions with and)">_xlfn.LAMBDA(_xlpm.array,_xlpm.lower_bound,_xlpm.upper_bound,_xlop.more_than_sign,_xlop.less_than_sign,_xlfn.LET(_xlpm.array, _xlpm.array, _xlpm.lower_bound, _xlpm.lower_bound, _xlpm.upper_bound, _xlpm.upper_bound, _xlpm.more_than_sign, IF(_xlfn.ISOMITTED(_xlpm.more_than_sign), "&gt;=", _xlpm.more_than_sign), _xlpm.less_than_sign, IF(_xlfn.ISOMITTED(_xlpm.less_than_sign), "&lt;=", _xlpm.less_than_sign), _xlpm.less_than_in, _xlfn.SWITCH(_xlpm.less_than_sign, "&lt;", "&lt;", "less than", "&lt;", "&lt;=", "&lt;=", "less than or equal to", "&lt;", ), _xlpm.more_than_in, _xlfn.SWITCH(_xlpm.more_than_sign, "&gt;", "&gt;", "more than", "&gt;", "greater than", "&gt;", "&gt;=", "&gt;=", "more than or equal to", "&gt;=", "greater than or equal to", "&gt;=", ), _xlfn.SWITCH(TRUE(), AND((_xlpm.more_than_in = "&gt;"), (_xlpm.less_than_in = "&lt;")), (_xlpm.array &gt; _xlpm.lower_bound) * (_xlpm.array &lt; _xlpm.upper_bound), AND((_xlpm.more_than_in = "&gt;"), (_xlpm.less_than_in = "&lt;=")), (_xlpm.array &gt; _xlpm.lower_bound) * (_xlpm.array &lt;= _xlpm.upper_bound), AND((_xlpm.more_than_in = "&gt;="), (_xlpm.less_than_in = "&lt;")), (_xlpm.array &gt;= _xlpm.lower_bound) * (_xlpm.array &lt; _xlpm.upper_bound), AND((_xlpm.more_than_in = "&gt;="), (_xlpm.less_than_in = "&lt;=")), (_xlpm.array &gt;= _xlpm.lower_bound) * (_xlpm.array &lt;= _xlpm.upper_bound))))</definedName>
    <definedName name="Fl_Compare" comment="This function is the extension of normal Filter function that allow users to change =, &lt;, &gt;" localSheetId="9">_xlfn.LAMBDA(_xlpm.array,_xlpm.value_array,_xlpm.operator,_xlpm.compare_value,_xlfn.LET(_xlpm.array, _xlpm.array, _xlpm.value_array, _xlpm.value_array, _xlpm.operator, _xlpm.operator, _xlpm.compare_value, _xlpm.compare_value, _xlfn._xlws.FILTER(_xlpm.array, Button!Fl_CompareOperator(_xlpm.value_array, _xlpm.operator, _xlpm.compare_value))))</definedName>
    <definedName name="Fl_Compare" comment="This function is the extension of normal Filter function that allow users to change =, &lt;, &gt;">_xlfn.LAMBDA(_xlpm.array,_xlpm.value_array,_xlpm.operator,_xlpm.compare_value,_xlfn.LET(_xlpm.array, _xlpm.array, _xlpm.value_array, _xlpm.value_array, _xlpm.operator, _xlpm.operator, _xlpm.compare_value, _xlpm.compare_value, _xlfn._xlws.FILTER(_xlpm.array, Fl_CompareOperator(_xlpm.value_array, _xlpm.operator, _xlpm.compare_value))))</definedName>
    <definedName name="Fl_CompareOperator" comment="Helper function for Fl_Compare that will allow users to change the operator from {&lt;, &gt;, =}" localSheetId="9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mpareOperator" comment="Helper function for Fl_Compare that will allow users to change the operator from {&lt;, &gt;, =}">_xlfn.LAMBDA(_xlpm.array,_xlpm.compare,_xlpm.compare_value,_xlfn.LET(_xlpm.array, _xlpm.array, _xlpm.compare, _xlpm.compare, _xlpm.compare_value, _xlpm.compare_value, _xlfn.SWITCH(_xlpm.compare, "&lt;", _xlpm.array &lt; _xlpm.compare_value, "less than", _xlpm.array &lt; _xlpm.compare_value, "&gt;", _xlpm.array &gt; _xlpm.compare_value, "more than", _xlpm.array &gt; _xlpm.compare_value, "greater than", _xlpm.array &gt; _xlpm.compare_value, "=", _xlpm.array = _xlpm.compare_value, "equal to", _xlpm.array = _xlpm.compare_value, "&lt;&gt;", _xlpm.array &lt;&gt; _xlpm.compare_value, "!=", _xlpm.array &lt;&gt; _xlpm.compare_value, "not equal to", _xlpm.array &lt;&gt; _xlpm.compare_value, "&gt;=", _xlpm.array &gt;= _xlpm.compare_value, "&lt;=", _xlpm.array &lt;= _xlpm.compare_value, "more than or equal to", _xlpm.array &gt;= _xlpm.compare_value, "greater than or equal to", _xlpm.array &gt;= _xlpm.compare_value, "at least", _xlpm.array &gt;= _xlpm.compare_value, "less than or equal to", _xlpm.array &lt;= _xlpm.compare_value, "at most", _xlpm.array &lt;= _xlpm.compare_value)))</definedName>
    <definedName name="Fl_ContainText_f" comment="work only when pattern is just 1 string not array" localSheetId="9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f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 localSheetId="9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ContainText_s" comment="work only when pattern is just 1 string not array">_xlfn.LAMBDA(_xlpm.text,_xlpm.pattern, _xlfn.LET(      _xlpm.pattern,  IF((_xlpm.pattern = "?")+(_xlpm.pattern = "*"),                     "~" &amp; _xlpm.pattern,                     _xlpm.pattern),      _xlpm.text, _xlpm.text, _xlfn._xlws.FILTER(_xlpm.text,ISNUMBER(SEARCH(_xlpm.pattern,_xlpm.text)))))</definedName>
    <definedName name="Fl_Duplicate" comment="Find the elements that are duplicated" localSheetId="9">_xlfn.LAMBDA(_xlpm.arr,_xlfn.LET(_xlpm.arr, _xlpm.arr, _xlpm.count_elements, COUNTIFS(_xlpm.arr, _xlpm.arr), _xlfn.UNIQUE(_xlfn._xlws.FILTER(_xlpm.arr, _xlpm.count_elements &gt; 1))))</definedName>
    <definedName name="Fl_Duplicate" comment="Find the elements that are duplicated">_xlfn.LAMBDA(_xlpm.arr,_xlfn.LET(_xlpm.arr, _xlpm.arr, _xlpm.count_elements, COUNTIFS(_xlpm.arr, _xlpm.arr), _xlfn.UNIQUE(_xlfn._xlws.FILTER(_xlpm.arr, _xlpm.count_elements &gt; 1))))</definedName>
    <definedName name="Fl_Filter_2d" comment="return the (row_name, col_name) pairs with values_include is similar to the input of FILTER function" localSheetId="9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Button!A_Duplicate_f(_xlpm.row_name, _xlpm.n_col), _xlpm.col_rep, Button!A_Duplicate_f(_xlpm.col_name,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_2d" comment="return the (row_name, col_name) pairs with values_include is similar to the input of FILTER function">_xlfn.LAMBDA(_xlpm.row_name,_xlpm.col_name,_xlpm.values_include,_xlfn.LET(_xlpm.row_name, _xlpm.row_name, _xlpm.col_name, _xlpm.col_name, _xlpm.values_include, _xlpm.values_include, _xlpm.n_row, COUNTA(_xlpm.row_name), _xlpm.n_col, COUNTA(_xlpm.col_name), _xlpm.row_checker, _xlfn.TOCOL(SIGN(_xlpm.values_include), , TRUE), _xlpm.col_checker, _xlfn.TOCOL(SIGN(_xlpm.values_include)), _xlpm.row_rep, A_Duplicate_f(_xlpm.row_name, _xlpm.n_col), _xlpm.col_rep, A_Duplicate_f(_xlpm.col_name, _xlpm.n_row), _xlpm.row_found, _xlfn._xlws.FILTER(_xlpm.row_rep, _xlpm.row_checker = 1), _xlpm.col_found, _xlfn._xlws.SORT(_xlfn._xlws.FILTER(_xlpm.col_rep, _xlpm.col_checker = 1)), _xlpm.ans, _xlfn.HSTACK(_xlpm.row_found, _xlpm.col_found), _xlpm.ans))</definedName>
    <definedName name="Fl_FilterExclude" comment="Exclude all elements in 'exlcude' from arr" localSheetId="9">_xlfn.LAMBDA(_xlpm.arr,_xlpm.exclude,IFERROR(_xlfn._xlws.FILTER(_xlpm.arr, NOT(ISNUMBER(MATCH(_xlpm.arr, _xlpm.exclude, 0)))), "None Left"))</definedName>
    <definedName name="Fl_FilterExclude" comment="Exclude all elements in 'exlcude' from arr">_xlfn.LAMBDA(_xlpm.arr,_xlpm.exclude,IFERROR(_xlfn._xlws.FILTER(_xlpm.arr, NOT(ISNUMBER(MATCH(_xlpm.arr, _xlpm.exclude, 0)))), "None Left"))</definedName>
    <definedName name="GPT_Lookup" comment="return the most similar sentences, this is supposed to work for all languages combinations" localSheetId="9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Lookup" comment="return the most similar sentences, this is supposed to work for all languages combinations">_xlfn.LAMBDA(_xlpm.sentence,_xlpm.sentence_list,_xlfn.LET(_xlpm.sentence, _xlpm.sentence, _xlpm.sentence_list, _xlpm.sentence_list, _xlpm.n_options, COUNTA(_xlpm.sentence_list), _xlpm.prompt1, "This is the sentence that I want to map to called sen1:", _xlpm.prompt2, "There are " &amp; _xlpm.n_options &amp; " options of sentences seperated by semi colon:", _xlpm.prompt3, _xlfn.TEXTJOIN("; ", TRUE, _xlpm.sentence_list), _xlpm.prompt4, "find the closest  sentences from these " &amp; _xlpm.n_options &amp; " options that have the same meaning as sen1, ", _xlpm.prompt5, "and output your answer as a whole sentences only without any explanations.", _xlpm.prompt6, "Note that the output should only be in 1 of these " &amp; _xlpm.n_options &amp; " options.", _xlpm.prompt7, "If None is similar return this text: None is similar to input sentence", IF(_xlpm.sentence = "", "input sentence is empty", _xldudf_LABS_GENERATIVEAI(_xlpm.prompt1 &amp; """" &amp; _xlpm.sentence &amp; """." &amp; _xlpm.prompt2 &amp; _xlpm.prompt3 &amp; _xlpm.prompt4 &amp; _xlpm.prompt5 &amp; _xlpm.prompt6 &amp; _xlpm.prompt7, 0))))</definedName>
    <definedName name="GPT_SimilarScore" localSheetId="9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">_xlfn.LAMBDA(_xlpm.sentence1,_xlpm.sentence2,_xlfn.LET(_xlpm.prompt_text, "Given 2 sentences is these 2 sentences mean the same? Give the score where 0 is not similar at all while 100 has the exact same meaning, output number only(don't include any text in your output) :", St_GetNum(_xldudf_LABS_GENERATIVEAI(_xlpm.prompt_text &amp; _xlpm.sentence1 &amp; " &amp; " &amp; _xlpm.sentence2, 0))))</definedName>
    <definedName name="GPT_SimilarScore2" comment="Upgrade version of GPT_SimilarScore, that can work with multiple sentences, _x000a_doesn't work that well compared to GPT_SimilarScore" localSheetId="9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SimilarScore2" comment="Upgrade version of GPT_SimilarScore, that can work with multiple sentences, _x000a_doesn't work that well compared to GPT_SimilarScore">_xlfn.LAMBDA(_xlpm.sentence,_xlpm.sentence_list,_xlfn.LET(_xlpm.sentence, _xlpm.sentence, _xlpm.sentence_list, _xlpm.sentence_list, _xlpm.n_options, COUNTA(_xlpm.sentence_list), _xlpm.prompt1, "This is the sentence that I want to compare with:", _xlpm.prompt2, "There are " &amp; _xlpm.n_options &amp; " options of sentences seperated by semi colon:", _xlpm.prompt3, _xlfn.TEXTJOIN("; ", TRUE, _xlpm.sentence_list), _xlpm.prompt4, "find the similar scores of each of these " &amp; _xlpm.n_options &amp; " sentences against sen1, where 0 means not similar at all and 100 means it has exact same meaning, be conservative ", _xlpm.prompt5, "and output your answer as a number seperated by semi-colon  without any explanations.", IF(_xlpm.sentence = "", "input sentence is empty", _xlfn.TEXTSPLIT(_xldudf_LABS_GENERATIVEAI(_xlpm.prompt1 &amp; """" &amp; _xlpm.sentence &amp; """." &amp; _xlpm.prompt2 &amp; _xlpm.prompt3 &amp; _xlpm.prompt4 &amp; _xlpm.prompt5, 0), , "; "))))</definedName>
    <definedName name="GPT_WhatLanguage" localSheetId="9">_xlfn.LAMBDA(_xlpm.sentence,_xlfn.LET(_xlpm.prompt1, "What is the language(Just output the language name):", _xldudf_LABS_GENERATIVEAI(_xlpm.prompt1 &amp; _xlpm.sentence, 0)))</definedName>
    <definedName name="GPT_WhatLanguage">_xlfn.LAMBDA(_xlpm.sentence,_xlfn.LET(_xlpm.prompt1, "What is the language(Just output the language name):", _xldudf_LABS_GENERATIVEAI(_xlpm.prompt1 &amp; _xlpm.sentence, 0)))</definedName>
    <definedName name="LGP_Infinitive" comment="return the infinitive form">_xlfn.LAMBDA(_xlpm.verb,_xldudf_LABS_GENERATIVEAI("convert " &amp; St_AddQuote(_xlpm.verb) &amp; " into the infinitive form if it's not a verb return 'Not a verb': 
return only output without explaination; if it's already infinitive just output the input given back", 0, , "gpt-4"))</definedName>
    <definedName name="LGP_IPA" comment="return International Phonetic alphabet for given text. By default it would detect language automatically.">_xlfn.LAMBDA(_xlpm.input_text,_xlop.language,_xlfn.LET(_xlpm.input_text, _xlpm.input_text, _xlpm.language, IF(_xlfn.ISOMITTED(_xlpm.language), GPT_WhatLanguage(_xlpm.input_text), _xlpm.language), _xlpm.prompt1, " return IPA(only)(start and end your answer with /) and separate the syllebus within word using 1 dot and 1 space for seperate word, do it for this sentence/words: ", _xlpm.final_prompt, "In " &amp; _xlpm.language &amp; _xlpm.prompt1 &amp; St_AddQuote(_xlpm.input_text), _xldudf_LABS_GENERATIVEAI(_xlpm.final_prompt, 0, , "gpt-4")))</definedName>
    <definedName name="LGP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LGT_Infinitive" comment="return the infinitive form">_xlfn.LAMBDA(_xlpm.verb,_xldudf_LABS_GENERATIVEAI("convert " &amp; Button!St_AddQuote(_xlpm.verb) &amp; " into the infinitive form if it's not a verb return 'Not a verb': 
return only output without explaination; if it's already infinitive just output the input given back", 0, , "gpt-4"))</definedName>
    <definedName name="LGT_SpeechPart" comment="return the part of speech... Noun, Verb, Adjective,....">_xlfn.LAMBDA(_xlpm.word,_xlfn.LET(_xlpm.word, _xlpm.word, _xlpm.prompt1, "What is the part of speech of this word: ", _xlpm.prompt_word, _xlpm.prompt1 &amp; """" &amp; _xlpm.word &amp; """,", _xlpm.prompt2, "return only 9 options: Noun, Pronoun, Verb, Adjective, Adverb, Preposition, Conjunction, Interjection, Not a single word;", _xlpm.prompt3, "If a preposition is attached to the verb then the output would be ""Verb"" eg ""gostar de"", ""falar do"", ""é capaz de"", ""get rid of"", ""able to""", _xlpm.prompt4, "If adjective is atteched to the noun then return ""Noun""; eg. ""pessoas fechadas"", ""sido afetadas""", _xlpm.prompt5, "example of ""Not a word"": ""apertem seus cintos""", _xlpm.prompt6, "In case it's more than one return the output with comma, eg: Verb, Adjective; please return only the output not any explanation", _xldudf_LABS_GENERATIVEAI(_xlpm.prompt1 &amp; _xlpm.prompt_word &amp; _xlpm.prompt2 &amp; _xlpm.prompt3 &amp; _xlpm.prompt4 &amp; _xlpm.prompt5 &amp; _xlpm.prompt6, 0, , "gpt-4")))</definedName>
    <definedName name="M_ChangeKey" localSheetId="9">_xlfn.LAMBDA(_xlpm.chord_txt,_xlpm.shift,M_ChangeKeyVB(_xlpm.chord_txt,_xlpm.shift))</definedName>
    <definedName name="M_ChangeKey">_xlfn.LAMBDA(_xlpm.chord_txt,_xlpm.shift,M_ChangeKeyVB(_xlpm.chord_txt,_xlpm.shift))</definedName>
    <definedName name="M_Transpose" localSheetId="9">_xlfn.LAMBDA(_xlpm.chord,_xlpm.old_key,_xlpm.new_key,M_TransposeVB(_xlpm.chord,_xlpm.old_key,_xlpm.new_key))</definedName>
    <definedName name="M_Transpose">_xlfn.LAMBDA(_xlpm.chord,_xlpm.old_key,_xlpm.new_key,M_TransposeVB(_xlpm.chord,_xlpm.old_key,_xlpm.new_key))</definedName>
    <definedName name="O_FillColor">GET.CELL(63,INDIRECT("rc",FALSE))</definedName>
    <definedName name="Py_Dict" localSheetId="9">_xlfn.LAMBDA(_xlpm.keys,_xlpm.values,_xlop.inline,_xlop.num_as_string,_xlop.fill_na,Py_DictVB(_xlpm.keys, _xlpm.values, _xlpm.inline, _xlpm.num_as_string, _xlpm.fill_na))</definedName>
    <definedName name="Py_Dict">_xlfn.LAMBDA(_xlpm.keys,_xlpm.values,_xlop.inline,_xlop.num_as_string,_xlop.fill_na,Py_DictVB(_xlpm.keys, _xlpm.values, _xlpm.inline, _xlpm.num_as_string, _xlpm.fill_na))</definedName>
    <definedName name="R_ShuffleFixed" localSheetId="9">_xlfn.LAMBDA(_xlpm.seed,_xlpm.arr,   _xlfn.SORTBY(_xlpm.arr,R_srand(_xlpm.seed,ROWS(_xlpm.arr))))</definedName>
    <definedName name="R_ShuffleFixed">_xlfn.LAMBDA(_xlpm.seed,_xlpm.arr,   _xlfn.SORTBY(_xlpm.arr,R_srand(_xlpm.seed,ROWS(_xlpm.arr))))</definedName>
    <definedName name="Rg_Address" comment="return the address of the cell" localSheetId="9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Address" comment="return the address of the cell">_xlfn.LAMBDA(_xlpm.cell,_xlop.fixed_col,_xlop.fixed_row,_xlfn.LET(_xlpm.col, COLUMN(_xlpm.cell), _xlpm.row, ROW(_xlpm.cell), _xlpm.col_letter, SUBSTITUTE(ADDRESS(1, _xlpm.col, 4), "1", ""), _xlpm.row_number, TEXT(_xlpm.row, "0"), _xlpm.fixed_col, IF(_xlfn.ISOMITTED(_xlpm.fixed_col), FALSE, _xlpm.fixed_col), _xlpm.fixed_row, IF(_xlfn.ISOMITTED(_xlpm.fixed_row), FALSE, _xlpm.fixed_row), _xlpm.address, IF(_xlpm.fixed_col, "$", "") &amp; _xlpm.col_letter &amp; IF(_xlpm.fixed_row, "$", "") &amp; _xlpm.row_number, _xlpm.address))</definedName>
    <definedName name="Rg_CellByAdr" localSheetId="9">_xlfn.LAMBDA(_xlpm.range,_xlop.ws,_xlop.wb,_xlop.folder, _xlfn.LET(_xlpm.range,_xlpm.range,   _xlpm.ws,_xlpm.ws,  _xlpm.wb,_xlpm.wb,     _xlpm.folder,_xlpm.folder,  _xlpm.adr, Button!Rg_WriteAdr(_xlpm.range,_xlpm.ws,_xlpm.wb,_xlpm.folder),  INDIRECT(_xlpm.adr)      ) )</definedName>
    <definedName name="Rg_CellByAdr">_xlfn.LAMBDA(_xlpm.range,_xlop.ws,_xlop.wb,_xlop.folder, _xlfn.LET(_xlpm.range,_xlpm.range,   _xlpm.ws,_xlpm.ws,  _xlpm.wb,_xlpm.wb,     _xlpm.folder,_xlpm.folder,  _xlpm.adr, Rg_WriteAdr(_xlpm.range,_xlpm.ws,_xlpm.wb,_xlpm.folder),  INDIRECT(_xlpm.adr)      ) )</definedName>
    <definedName name="Rg_WriteAdr" localSheetId="9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Rg_WriteAdr">_xlfn.LAMBDA(_xlpm.range,_xlop.ws,_xlop.wb,_xlop.folder, _xlfn.LET( _xlpm.range, _xlpm.range, _xlpm.ws, IF(_xlfn.ISOMITTED(_xlpm.ws), "", _xlpm.ws), _xlpm.wb, IF(_xlfn.ISOMITTED(_xlpm.wb), "", _xlpm.wb), _xlpm.folder_, _xlfn.SWITCH(NOT(_xlfn.ISOMITTED(_xlpm.folder)), RIGHT(_xlpm.folder,1) = "\", _xlpm.folder, _xlpm.folder &amp; "\"),  _xlpm.wb_bracket, "[" &amp; _xlpm.wb &amp; "]",  _xlfn.SWITCH(TRUE(), NOT(_xlfn.ISOMITTED(_xlpm.folder)) * (_xlpm.folder &lt;&gt; ""),    "'" &amp; _xlpm.folder_ &amp; _xlpm.wb_bracket &amp; _xlpm.ws &amp;"'!" &amp; _xlpm.range, _xlpm.ws = "",    _xlpm.range, _xlpm.wb = "",    _xlpm.ws &amp;"!" &amp; _xlpm.range, "[" &amp; _xlpm.wb &amp; "]" &amp; _xlpm.ws &amp;"!" &amp; _xlpm.range            )       )              )</definedName>
    <definedName name="S_SelectSkip" comment="arr = array, r = remainder, n = n_loop  " localSheetId="9">_xlfn.LAMBDA(_xlpm.arr,_xlpm.r,_xlpm.n,     S_SelectSkipVB(_xlpm.arr,_xlpm.r,_xlpm.n))</definedName>
    <definedName name="S_SelectSkip" comment="arr = array, r = remainder, n = n_loop  ">_xlfn.LAMBDA(_xlpm.arr,_xlpm.r,_xlpm.n,     S_SelectSkipVB(_xlpm.arr,_xlpm.r,_xlpm.n))</definedName>
    <definedName name="S_UnDiaCritic" comment="No dependency" localSheetId="9">_xlfn.LAMBDA(_xlpm.ch, S_UnDiaCriticVB(_xlpm.ch))</definedName>
    <definedName name="S_UnDiaCritic" comment="No dependency">_xlfn.LAMBDA(_xlpm.ch, S_UnDiaCriticVB(_xlpm.ch))</definedName>
    <definedName name="Sp_SortUnique" localSheetId="9">_xlfn.LAMBDA(_xlpm.x, _xlfn._xlws.SORT(_xlfn.UNIQUE(_xlpm.x)))</definedName>
    <definedName name="Sp_SortUnique">_xlfn.LAMBDA(_xlpm.x, _xlfn._xlws.SORT(_xlfn.UNIQUE(_xlpm.x)))</definedName>
    <definedName name="St_AddQuote" localSheetId="9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AddQuote">_xlfn.LAMBDA(_xlpm.text,_xlop.quote_type,IF(_xlfn.ISOMITTED(_xlpm.quote_type), """" &amp; _xlpm.text &amp; """", IF(_xlpm.quote_type = 1, "'" &amp; _xlpm.text &amp; "'", IF(_xlpm.quote_type = 2, """" &amp; _xlpm.text &amp; """", "Invalid quote_type"))))</definedName>
    <definedName name="St_ContainText_f" localSheetId="9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ntainText_f">_xlfn.LAMBDA(_xlpm.text,_xlpm.pattern,_xlop.case_sensitive,_xlfn.LET(_xlpm.escaped_pattern, IF((_xlpm.pattern = "?") + (_xlpm.pattern = "*"), "~" &amp; _xlpm.pattern, _xlpm.pattern), _xlpm.case_sensitive, IF(_xlfn.ISOMITTED(_xlpm.case_sensitive), FALSE, _xlpm.case_sensitive), _xlpm.result, IF(_xlpm.case_sensitive, ISNUMBER(FIND(_xlpm.escaped_pattern, _xlpm.text)), ISNUMBER(SEARCH(_xlpm.escaped_pattern, _xlpm.text))), _xlpm.result))</definedName>
    <definedName name="St_CountWords" comment="count how many words in the given text provided that words are seprated by spaces. It would not work for Thai or Chinese. _x000a_Many spaces case is also covered." localSheetId="9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CountWords" comment="count how many words in the given text provided that words are seprated by spaces. It would not work for Thai or Chinese. _x000a_Many spaces case is also covered.">_xlfn.LAMBDA(_xlpm.text,_xlfn.LET(_xlpm.TrimmedText, TRIM(_xlpm.text), _xlpm.NoSpaceLength, LEN(SUBSTITUTE(_xlpm.TrimmedText, " ", "")), _xlpm.TrimmedLength, LEN(_xlpm.TrimmedText), IF(_xlpm.TrimmedLength = 0, 0, _xlpm.TrimmedLength - _xlpm.NoSpaceLength + 1)))</definedName>
    <definedName name="St_EndWithλH1" localSheetId="9">_xlfn.LAMBDA(_xlpm.text,_xlpm.end_with,OR(SUMPRODUCT(--(RIGHT(_xlpm.text, LEN(_xlpm.end_with)) = _xlpm.end_with)) &gt; 0))</definedName>
    <definedName name="St_EndWithλH1">_xlfn.LAMBDA(_xlpm.text,_xlpm.end_with,OR(SUMPRODUCT(--(RIGHT(_xlpm.text, LEN(_xlpm.end_with)) = _xlpm.end_with)) &gt; 0))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 localSheetId="9">_xlfn.LAMBDA(_xlpm.text,_xlpm.before,_xlpm.after,_xlfn.LET(_xlpm.text, _xlpm.text, _xlpm.before, INDEX(_xlpm.before, 1, 1), _xlpm.after, INDEX(_xlpm.after, 1, 1), IF(_xlpm.before = "", _xlpm.text, Button!St_MegaReplace(SUBSTITUTE(_xlpm.text, _xlpm.before, _xlpm.after), OFFSET(_xlpm.before, 1, 0), OFFSET(_xlpm.after, 1, 0)))))</definedName>
    <definedName name="St_MegaReplace" comment="From Leila, once I figure more powerful, I will merge this function to that function._x000a_I change it so that before, after can input the whole list now. But the algorithm is still wrong. I still work the same. I just changed it to grab only the start of the ">_xlfn.LAMBDA(_xlpm.text,_xlpm.before,_xlpm.after,_xlfn.LET(_xlpm.text, _xlpm.text, _xlpm.before, INDEX(_xlpm.before, 1, 1), _xlpm.after, INDEX(_xlpm.after, 1, 1), IF(_xlpm.before = "", _xlpm.text, St_MegaReplace(SUBSTITUTE(_xlpm.text, _xlpm.before, _xlpm.after), OFFSET(_xlpm.before, 1, 0), OFFSET(_xlpm.after, 1, 0)))))</definedName>
    <definedName name="St_RemoveNum" localSheetId="9">_xlfn.LAMBDA(_xlpm.text, SUBSTITUTE(SUBSTITUTE(SUBSTITUTE(SUBSTITUTE(SUBSTITUTE(SUBSTITUTE(SUBSTITUTE(SUBSTITUTE(SUBSTITUTE(SUBSTITUTE(_xlpm.text,1,""),2,""),3,""),4,""),5,""),6,""),7,""),8,""),9,""),0,""))</definedName>
    <definedName name="St_RemoveNum">_xlfn.LAMBDA(_xlpm.text, SUBSTITUTE(SUBSTITUTE(SUBSTITUTE(SUBSTITUTE(SUBSTITUTE(SUBSTITUTE(SUBSTITUTE(SUBSTITUTE(SUBSTITUTE(SUBSTITUTE(_xlpm.text,1,""),2,""),3,""),4,""),5,""),6,""),7,""),8,""),9,""),0,""))</definedName>
    <definedName name="St_ReplaceAll" comment="replace all elements in before with after(after only 1 string) (This is temp function, I will merge with the main function once I figure out)" localSheetId="9">_xlfn.LAMBDA(_xlpm.text,_xlpm.before,_xlpm.after,_xlfn.LET(_xlpm.text, _xlpm.text, _xlpm.before, INDEX(_xlpm.before, 1, 1), _xlpm.after, _xlpm.after, IF(_xlpm.before = "", _xlpm.text, Button!St_MegaReplace(SUBSTITUTE(_xlpm.text, _xlpm.before, _xlpm.after), OFFSET(_xlpm.before, 1, 0), _xlpm.after))))</definedName>
    <definedName name="St_ReplaceAll" comment="replace all elements in before with after(after only 1 string) (This is temp function, I will merge with the main function once I figure out)">_xlfn.LAMBDA(_xlpm.text,_xlpm.before,_xlpm.after,_xlfn.LET(_xlpm.text, _xlpm.text, _xlpm.before, INDEX(_xlpm.before, 1, 1), _xlpm.after, _xlpm.after, IF(_xlpm.before = "", _xlpm.text, St_MegaReplace(SUBSTITUTE(_xlpm.text, _xlpm.before, _xlpm.after), OFFSET(_xlpm.before, 1, 0), _xlpm.after))))</definedName>
    <definedName name="St_StartWithλH1" comment="only work for 1 string text:_x000a_but can have multiple start_with_x000a_*Need more upgrade" localSheetId="9">_xlfn.LAMBDA(_xlpm.text,_xlpm.start_with,OR(SUMPRODUCT(--(LEFT(_xlpm.text, LEN(_xlpm.start_with)) = _xlpm.start_with)) &gt; 0))</definedName>
    <definedName name="St_StartWithλH1" comment="only work for 1 string text:_x000a_but can have multiple start_with_x000a_*Need more upgrade">_xlfn.LAMBDA(_xlpm.text,_xlpm.start_with,OR(SUMPRODUCT(--(LEFT(_xlpm.text, LEN(_xlpm.start_with)) = _xlpm.start_with)) &gt; 0))</definedName>
    <definedName name="St_TextBetween" comment="Good for now.Still need to handdle if input only after or before. " localSheetId="9">_xlfn.LAMBDA(_xlpm.text,_xlpm.after,_xlpm.before,IFERROR(_xlfn.TEXTAFTER(_xlfn.TEXTBEFORE(_xlpm.text, _xlpm.before), _xlpm.after), _xlpm.text))</definedName>
    <definedName name="St_TextBetween" comment="Good for now.Still need to handdle if input only after or before. ">_xlfn.LAMBDA(_xlpm.text,_xlpm.after,_xlpm.before,IFERROR(_xlfn.TEXTAFTER(_xlfn.TEXTBEFORE(_xlpm.text, _xlpm.before), _xlpm.after), _xlpm.text))</definedName>
    <definedName name="St_UnDiaCritic" comment="No dependency" localSheetId="9">_xlfn.LAMBDA(_xlpm.ch, St_UnDiaCriticVB(_xlpm.ch))</definedName>
    <definedName name="St_UnDiaCritic" comment="No dependency">_xlfn.LAMBDA(_xlpm.ch, St_UnDiaCriticVB(_xlpm.ch))</definedName>
    <definedName name="tableList" localSheetId="9">#REF!</definedName>
    <definedName name="tableList">#REF!</definedName>
    <definedName name="test_func" localSheetId="9">_xlfn.LAMBDA(_xlpm.text,_xlop.add_right,_xlfn.LET(_xlpm.text, _xlpm.text, _xlpm.add_right, IF(_xlfn.ISOMITTED(_xlpm.add_right), "default value", _xlpm.add_right), _xlpm.text &amp; " " &amp; _xlpm.add_right))</definedName>
    <definedName name="test_func">_xlfn.LAMBDA(_xlpm.text,_xlop.add_right,_xlfn.LET(_xlpm.text, _xlpm.text, _xlpm.add_right, IF(_xlfn.ISOMITTED(_xlpm.add_right), "default value", _xlpm.add_right), _xlpm.text &amp; " " &amp; _xlpm.add_right))</definedName>
    <definedName name="test_val">10</definedName>
    <definedName name="W_FindBeta" localSheetId="9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FindBeta">_xlfn.LAMBDA(_xlpm.level,_xlpm.feature,_xlpm.ws_name,_xlop.earnix_name,_xlop.emblem_name,_xlop.feature_row,_xlop.start_level_row,_xlfn.LET( _xlpm.level,                _xlpm.level, _xlpm.feature,            _xlpm.feature, _xlpm.ws_name,        _xlpm.ws_name, _xlpm.earnix_name,    _xlpm.earnix_name, _xlpm.emblem_name, _xlpm.emblem_name, _xlpm.feature_row,     IF(_xlfn.ISOMITTED(_xlpm.feature_row), 7, _xlpm.feature_row), _xlpm.start_level_row, IF(_xlfn.ISOMITTED(_xlpm.start_level_row), 8, _xlpm.start_level_row), _xlpm.feature_f, IF(  _xlfn.ISOMITTED(_xlpm.earnix_name), _xlpm.feature,  _xlfn.XLOOKUP(_xlpm.feature,_xlpm.earnix_name,_xlpm.emblem_name)), _xlpm.feature_list, INDIRECT(CONCATENATE(_xlpm.ws_name,"!$"&amp; _xlpm.feature_row &amp;":$"&amp;_xlpm.feature_row )), _xlpm.index_level,  MATCH(_xlpm.feature_f,_xlpm.feature_list,0),  _xlpm.adr_level_from,  ADDRESS(_xlpm.start_level_row,_xlpm.index_level,1,1 ), _xlpm.adr_level_to,  ADDRESS(400,_xlpm.index_level,1,1 ),  _xlpm.adr_beta_from,  ADDRESS(_xlpm.start_level_row,_xlpm.index_level+1,1,1), _xlpm.adr_beta_to,  ADDRESS(400,_xlpm.index_level+1,1,1),  _xlpm.level_rng,  INDIRECT(CONCATENATE(_xlpm.ws_name, "!", _xlpm.adr_level_from, ":", _xlpm.adr_level_to)), _xlpm.beta_rng,  INDIRECT(CONCATENATE(_xlpm.ws_name,"!",_xlpm.adr_beta_from, ":", _xlpm.adr_beta_to )),  IFERROR(      _xlfn.XLOOKUP(_xlpm.level,  _xlpm.level_rng,_xlpm.beta_rng),      _xlfn.XLOOKUP(TEXT(_xlpm.level,0),  _xlpm.level_rng,_xlpm.beta_rng) )  ))</definedName>
    <definedName name="W_InteractionName" localSheetId="9">_xlfn.LAMBDA(_xlpm.feature1,_xlpm.feature2,  TRIM(_xlfn.TEXTBEFORE(_xlpm.feature1,",")) &amp; " * "  &amp; TRIM(_xlfn.TEXTBEFORE(_xlpm.feature2,",")))</definedName>
    <definedName name="W_InteractionName">_xlfn.LAMBDA(_xlpm.feature1,_xlpm.feature2,  TRIM(_xlfn.TEXTBEFORE(_xlpm.feature1,",")) &amp; " * "  &amp; TRIM(_xlfn.TEXTBEFORE(_xlpm.feature2,",")))</definedName>
    <definedName name="Wb_ThisWBName" localSheetId="9">_xlfn.LAMBDA(Button!St_TextBetween(CELL("filename",[1]OD_Fresh_Freq_Cal!XAX1047646),  "[",  "]"))</definedName>
    <definedName name="Wb_ThisWBName">_xlfn.LAMBDA([2]!St_TextBetween(CELL("filename",[1]OD_Fresh_Freq_Cal!XAX1047646),  "[",  "]"))</definedName>
    <definedName name="Ws_ThisWSName" localSheetId="9">_xlfn.LAMBDA(_xlfn.TEXTAFTER(CELL("filename",[1]OD_Fresh_Freq_Cal!XAW1047644),"]"))</definedName>
    <definedName name="Ws_ThisWSName">_xlfn.LAMBDA(_xlfn.TEXTAFTER(CELL("filename",[1]OD_Fresh_Freq_Cal!XAW1047644),"]"))</definedName>
    <definedName name="X_AllSame" localSheetId="9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_xlfn.BYCOL(_xlpm.array,_xlfn.LAMBDA(_xlpm.col,Button!A_AllSame(_xlpm.col))),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AllSame">_xlfn.LAMBDA(_xlpm.array,_xlop.title,_xlop.vertical,_xlop.case_sensitive,                   _xlfn.LET( _xlpm.array,_xlpm.array, _xlpm.vertical, IF(_xlfn.ISOMITTED(_xlpm.vertical), TRUE, FALSE), _xlpm.case_sensitive, IF(_xlfn.ISOMITTED(_xlpm.case_sensitive), FALSE, TRUE),  _xlpm.first_row, _xlfn.TAKE(_xlpm.array,1), _xlpm.boolean_filter, _xlfn.BYCOL(_xlpm.array,_xlfn.LAMBDA(_xlpm.col,A_AllSame(_xlpm.col))),  IF(_xlfn.ISOMITTED(_xlpm.title),       _xlfn._xlws.FILTER(_xlpm.first_row,_xlpm.boolean_filter),       _xlfn.VSTACK(             _xlfn._xlws.FILTER(_xlpm.title,_xlpm.boolean_filter),             _xlfn._xlws.FILTER(_xlpm.first_row,_xlpm.boolean_filter)                 )      )                        )  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 localSheetId="9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ClosestValue" comment="finds the closest value to a given target in a list of values. It has an optional parameter to choose the lower value when distances are equal. By default, if two values are equally close, it returns the lower one; this behavior can be changed to return t">_xlfn.LAMBDA(_xlpm.value,_xlpm.value_list,_xlop.equal_as_lower_val,_xlfn.LET(_xlpm.differences, ABS(_xlpm.value_list - _xlpm.value), _xlpm.min_difference, MIN(_xlpm.differences), _xlpm.candidates, _xlfn._xlws.FILTER(_xlpm.value_list, _xlpm.differences = _xlpm.min_difference), _xlpm.equal_as_lower_val, IF(_xlfn.ISOMITTED(_xlpm.equal_as_lower_val), TRUE, _xlpm.equal_as_lower_val), IF(_xlpm.equal_as_lower_val, MIN(_xlpm.candidates), MAX(_xlpm.candidates))))</definedName>
    <definedName name="X_FindColumn" localSheetId="9">_xlfn.LAMBDA(_xlpm.lookup_value,_xlpm.lookup_array, Button!St_RemoveNum( SUBSTITUTE(   CELL("address", _xlfn.XLOOKUP(_xlpm.lookup_value,_xlpm.lookup_array,_xlpm.lookup_array)), "$","")   ) )</definedName>
    <definedName name="X_FindColumn">_xlfn.LAMBDA(_xlpm.lookup_value,_xlpm.lookup_array, St_RemoveNum( SUBSTITUTE(   CELL("address", _xlfn.XLOOKUP(_xlpm.lookup_value,_xlpm.lookup_array,_xlpm.lookup_array)), "$","")   ) )</definedName>
    <definedName name="X_Match" localSheetId="9">_xlfn.LAMBDA(_xlpm.lookup_value,_xlpm.lookup_array,_xlop.match_type,    X_MatchVB(_xlpm.lookup_value, _xlpm.lookup_array, _xlpm.match_type))</definedName>
    <definedName name="X_Match">_xlfn.LAMBDA(_xlpm.lookup_value,_xlpm.lookup_array,_xlop.match_type,    X_MatchVB(_xlpm.lookup_value, _xlpm.lookup_array, _xlpm.match_type))</definedName>
    <definedName name="X_num_lookup" localSheetId="9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num_lookup">_xlfn.LAMBDA(_xlpm.level,_xlpm.group,_xlpm.num_sheet,_xlop.group_name,_xlop.lookup_name,_xlfn.LET(_xlpm.level, _xlpm.level, _xlpm.group, _xlpm.group, _xlpm.num_sheet, _xlpm.num_sheet, _xlpm.group_name, _xlpm.group_name, _xlpm.lookup_name, _xlpm.lookup_name, X_num_lookupVB(_xlpm.level, _xlpm.group, _xlpm.num_sheet, _xlpm.group_name, _xlpm.lookup_name)))</definedName>
    <definedName name="X_Xlookup" localSheetId="9">_xlfn.LAMBDA(_xlpm.lookup_value,_xlpm.lookup_array,_xlpm.return_array, IFERROR(Button!X_XlookupH1(_xlpm.lookup_value, _xlpm.lookup_array, _xlpm.return_array), IFERROR(Button!X_XlookupH1(TEXT(_xlpm.lookup_value, "0"), _xlpm.lookup_array, _xlpm.return_array), Button!X_XlookupH1(VALUE(_xlpm.lookup_value), _xlpm.lookup_array, _xlpm.return_array))))</definedName>
    <definedName name="X_Xlookup">_xlfn.LAMBDA(_xlpm.lookup_value,_xlpm.lookup_array,_xlpm.return_array, IFERROR(X_XlookupH1(_xlpm.lookup_value, _xlpm.lookup_array, _xlpm.return_array), IFERROR(X_XlookupH1(TEXT(_xlpm.lookup_value, "0"), _xlpm.lookup_array, _xlpm.return_array), X_XlookupH1(VALUE(_xlpm.lookup_value), _xlpm.lookup_array, _xlpm.return_array))))</definedName>
    <definedName name="X_XLookup2Dλ" localSheetId="9">_xlfn.LAMBDA(_xlpm.table,_xlpm.my_row,_xlpm.my_col,_xlfn.XLOOKUP(_xlpm.my_row,INDEX(_xlpm.table,,1),_xlfn.XLOOKUP(_xlpm.my_col,INDEX(_xlpm.table,1,),INDEX(_xlpm.table,,))))</definedName>
    <definedName name="X_XLookup2Dλ">_xlfn.LAMBDA(_xlpm.table,_xlpm.my_row,_xlpm.my_col,_xlfn.XLOOKUP(_xlpm.my_row,INDEX(_xlpm.table,,1),_xlfn.XLOOKUP(_xlpm.my_col,INDEX(_xlpm.table,1,),INDEX(_xlpm.table,,))))</definedName>
    <definedName name="X_XLookup2Dλ2" localSheetId="9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2Dλ2">_xlfn.LAMBDA(_xlpm.my_row,_xlpm.my_col,_xlpm.row_label,_xlpm.col_label,_xlpm.value_table, _xlfn.LET(_xlpm.row_index, MATCH(_xlpm.my_row,_xlpm.row_label,0), _xlpm.col_index, MATCH(_xlpm.my_col,_xlpm.col_label,0), _xlpm.ans, INDEX(_xlpm.value_table,_xlpm.row_index,_xlpm.col_index), _xlpm.ans) )</definedName>
    <definedName name="X_XlookupH1" localSheetId="9">_xlfn.LAMBDA(_xlpm.lookup_value,_xlpm.lookup_array,_xlpm.return_array, _xlfn._xlws.FILTER(_xlpm.return_array, _xlpm.lookup_array = _xlpm.lookup_value))</definedName>
    <definedName name="X_XlookupH1">_xlfn.LAMBDA(_xlpm.lookup_value,_xlpm.lookup_array,_xlpm.return_array, _xlfn._xlws.FILTER(_xlpm.return_array, _xlpm.lookup_array = _xlpm.lookup_value))</definedName>
  </definedNames>
  <calcPr calcId="191029"/>
  <extLst>
    <ext xmlns:x14="http://schemas.microsoft.com/office/spreadsheetml/2009/9/main" uri="{8193D73E-4604-4355-AFF4-8A2333D13BE4}">
      <x14:definedNames>
        <x14:definedName name="D_Rank">
          <x14:argumentDescriptions count="4">
            <x14:argumentDescription index="0">element at which we want to find rank</x14:argumentDescription>
            <x14:argumentDescription index="1">the list of elements</x14:argumentDescription>
            <x14:argumentDescription index="2">the values list that is used for ranking</x14:argumentDescription>
            <x14:argumentDescription index="3">0 or omitted is rank from high to low,  1 the rank will be from low to high</x14:argumentDescription>
          </x14:argumentDescriptions>
        </x14:definedName>
        <x14:definedName name="Sp_SelectSkipVB">
          <x14:argumentDescriptions count="3">
            <x14:argumentDescription index="0">array of items</x14:argumentDescription>
            <x14:argumentDescription index="1" xml:space="preserve"> is the remander selected r must be less than n</x14:argumentDescription>
            <x14:argumentDescription index="2" xml:space="preserve"> is the # of repeated cycles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81" l="1"/>
  <c r="D22" i="81"/>
  <c r="D23" i="81"/>
  <c r="D24" i="81"/>
  <c r="D25" i="81"/>
  <c r="D26" i="81"/>
  <c r="D27" i="81"/>
  <c r="D20" i="81"/>
  <c r="C28" i="81"/>
  <c r="I52" i="79"/>
  <c r="D31" i="79"/>
  <c r="E68" i="79"/>
  <c r="I11" i="79"/>
  <c r="J11" i="79" s="1"/>
  <c r="I10" i="79"/>
  <c r="J10" i="79" s="1"/>
  <c r="I9" i="79"/>
  <c r="J9" i="79" s="1"/>
  <c r="I8" i="79"/>
  <c r="J8" i="79" s="1"/>
  <c r="I7" i="79"/>
  <c r="J7" i="79" s="1"/>
  <c r="I6" i="79"/>
  <c r="J6" i="79" s="1"/>
  <c r="D24" i="79"/>
  <c r="C43" i="78"/>
  <c r="C47" i="78"/>
  <c r="C48" i="78"/>
  <c r="C42" i="78"/>
  <c r="C46" i="78"/>
  <c r="C40" i="78"/>
  <c r="C49" i="78"/>
  <c r="C44" i="78"/>
  <c r="C45" i="78"/>
  <c r="C41" i="78"/>
  <c r="C33" i="78"/>
  <c r="C9" i="78"/>
  <c r="C10" i="78"/>
  <c r="C11" i="78"/>
  <c r="C12" i="78"/>
  <c r="C13" i="78"/>
  <c r="C14" i="78"/>
  <c r="C15" i="78"/>
  <c r="C16" i="78"/>
  <c r="C17" i="78"/>
  <c r="C8" i="78"/>
  <c r="C32" i="78"/>
  <c r="D40" i="75"/>
  <c r="C16" i="77"/>
  <c r="H44" i="75"/>
  <c r="C40" i="75"/>
  <c r="G40" i="75" s="1"/>
  <c r="I40" i="75"/>
  <c r="I36" i="75"/>
  <c r="H40" i="75"/>
  <c r="H36" i="75"/>
  <c r="F40" i="75"/>
  <c r="E40" i="75"/>
  <c r="G34" i="75"/>
  <c r="G28" i="75"/>
  <c r="G29" i="75"/>
  <c r="G30" i="75"/>
  <c r="G31" i="75"/>
  <c r="G32" i="75"/>
  <c r="G33" i="75"/>
  <c r="G35" i="75"/>
  <c r="G36" i="75"/>
  <c r="G27" i="75"/>
  <c r="H23" i="75"/>
  <c r="I33" i="75"/>
  <c r="I28" i="75"/>
  <c r="I29" i="75"/>
  <c r="I30" i="75"/>
  <c r="I31" i="75"/>
  <c r="I32" i="75"/>
  <c r="I34" i="75"/>
  <c r="I35" i="75"/>
  <c r="I27" i="75"/>
  <c r="H9" i="75"/>
  <c r="H28" i="75"/>
  <c r="H29" i="75"/>
  <c r="H30" i="75"/>
  <c r="H31" i="75"/>
  <c r="H32" i="75"/>
  <c r="H33" i="75"/>
  <c r="H34" i="75"/>
  <c r="H35" i="75"/>
  <c r="H27" i="75"/>
  <c r="E28" i="75"/>
  <c r="E29" i="75"/>
  <c r="E30" i="75"/>
  <c r="E31" i="75"/>
  <c r="E32" i="75"/>
  <c r="E33" i="75"/>
  <c r="E34" i="75"/>
  <c r="E35" i="75"/>
  <c r="E36" i="75"/>
  <c r="E37" i="75"/>
  <c r="E27" i="75"/>
  <c r="E4" i="75"/>
  <c r="C14" i="76" l="1"/>
  <c r="D18" i="75"/>
  <c r="V5" i="75"/>
  <c r="P32" i="75"/>
  <c r="O32" i="75"/>
  <c r="G9" i="75"/>
  <c r="E16" i="75"/>
  <c r="D16" i="75"/>
  <c r="P33" i="75"/>
  <c r="P34" i="75"/>
  <c r="P35" i="75"/>
  <c r="P36" i="75"/>
  <c r="P37" i="75"/>
  <c r="P38" i="75"/>
  <c r="P39" i="75"/>
  <c r="P40" i="75"/>
  <c r="P41" i="75"/>
  <c r="P42" i="75"/>
  <c r="P43" i="75"/>
  <c r="P44" i="75"/>
  <c r="P45" i="75"/>
  <c r="P46" i="75"/>
  <c r="P47" i="75"/>
  <c r="P48" i="75"/>
  <c r="P49" i="75"/>
  <c r="P50" i="75"/>
  <c r="P51" i="75"/>
  <c r="P52" i="75"/>
  <c r="P53" i="75"/>
  <c r="P54" i="75"/>
  <c r="P55" i="75"/>
  <c r="O33" i="75"/>
  <c r="O34" i="75"/>
  <c r="O35" i="75"/>
  <c r="O36" i="75"/>
  <c r="O37" i="75"/>
  <c r="O38" i="75"/>
  <c r="O39" i="75"/>
  <c r="O40" i="75"/>
  <c r="O41" i="75"/>
  <c r="O42" i="75"/>
  <c r="O43" i="75"/>
  <c r="O44" i="75"/>
  <c r="O45" i="75"/>
  <c r="O46" i="75"/>
  <c r="O47" i="75"/>
  <c r="O48" i="75"/>
  <c r="O49" i="75"/>
  <c r="O50" i="75"/>
  <c r="O51" i="75"/>
  <c r="O52" i="75"/>
  <c r="O53" i="75"/>
  <c r="O54" i="75"/>
  <c r="O55" i="75"/>
  <c r="K9" i="75"/>
  <c r="I19" i="75"/>
  <c r="I18" i="75"/>
  <c r="H18" i="75"/>
  <c r="S11" i="75"/>
  <c r="S6" i="75"/>
  <c r="S7" i="75"/>
  <c r="S8" i="75"/>
  <c r="S9" i="75"/>
  <c r="S10" i="75"/>
  <c r="S12" i="75"/>
  <c r="S13" i="75"/>
  <c r="S14" i="75"/>
  <c r="S15" i="75"/>
  <c r="S16" i="75"/>
  <c r="S17" i="75"/>
  <c r="S18" i="75"/>
  <c r="S19" i="75"/>
  <c r="S20" i="75"/>
  <c r="S21" i="75"/>
  <c r="S22" i="75"/>
  <c r="S23" i="75"/>
  <c r="S24" i="75"/>
  <c r="S25" i="75"/>
  <c r="S26" i="75"/>
  <c r="S27" i="75"/>
  <c r="S28" i="75"/>
  <c r="S5" i="75"/>
  <c r="R29" i="75"/>
  <c r="Q29" i="75"/>
  <c r="Q6" i="75"/>
  <c r="Q7" i="75"/>
  <c r="Q8" i="75"/>
  <c r="Q9" i="75"/>
  <c r="Q10" i="75"/>
  <c r="Q11" i="75"/>
  <c r="Q12" i="75"/>
  <c r="Q13" i="75"/>
  <c r="Q14" i="75"/>
  <c r="Q15" i="75"/>
  <c r="Q16" i="75"/>
  <c r="Q17" i="75"/>
  <c r="Q18" i="75"/>
  <c r="Q19" i="75"/>
  <c r="Q20" i="75"/>
  <c r="Q21" i="75"/>
  <c r="Q22" i="75"/>
  <c r="Q23" i="75"/>
  <c r="Q24" i="75"/>
  <c r="Q25" i="75"/>
  <c r="Q26" i="75"/>
  <c r="Q27" i="75"/>
  <c r="Q28" i="75"/>
  <c r="Q5" i="75"/>
  <c r="P29" i="75"/>
  <c r="O29" i="75"/>
  <c r="E5" i="75"/>
  <c r="E6" i="75"/>
  <c r="E7" i="75"/>
  <c r="E8" i="75"/>
  <c r="E9" i="75"/>
  <c r="E10" i="75"/>
  <c r="E11" i="75"/>
  <c r="E12" i="75"/>
  <c r="E13" i="75"/>
  <c r="E14" i="75"/>
  <c r="E15" i="75"/>
  <c r="A3" i="70" a="1"/>
  <c r="A3" i="7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Dear Norathee</author>
  </authors>
  <commentList>
    <comment ref="A32" authorId="0" shapeId="0" xr:uid="{3E7A7FBB-6553-4303-8694-33C4B1ECD880}">
      <text>
        <r>
          <rPr>
            <b/>
            <sz val="9"/>
            <color indexed="81"/>
            <rFont val="Tahoma"/>
            <family val="2"/>
          </rPr>
          <t>Dear Norathee:</t>
        </r>
        <r>
          <rPr>
            <sz val="9"/>
            <color indexed="81"/>
            <rFont val="Tahoma"/>
            <family val="2"/>
          </rPr>
          <t xml:space="preserve">
This is probably gdrive cache for videos</t>
        </r>
      </text>
    </comment>
    <comment ref="A33" authorId="0" shapeId="0" xr:uid="{82ED05AD-8D55-47AE-894D-52687F0DDBBE}">
      <text>
        <r>
          <rPr>
            <b/>
            <sz val="9"/>
            <color indexed="81"/>
            <rFont val="Tahoma"/>
            <family val="2"/>
          </rPr>
          <t>Dear Norathee:</t>
        </r>
        <r>
          <rPr>
            <sz val="9"/>
            <color indexed="81"/>
            <rFont val="Tahoma"/>
            <family val="2"/>
          </rPr>
          <t xml:space="preserve">
each env has the size of about 10 GB!!!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Heng2020</author>
  </authors>
  <commentList>
    <comment ref="B3" authorId="0" shapeId="0" xr:uid="{6F67E86C-1A0C-48F0-AB74-79C9561FD8F9}">
      <text>
        <r>
          <rPr>
            <b/>
            <sz val="9"/>
            <color indexed="81"/>
            <rFont val="Tahoma"/>
            <family val="2"/>
          </rPr>
          <t>Heng2020:</t>
        </r>
        <r>
          <rPr>
            <sz val="9"/>
            <color indexed="81"/>
            <rFont val="Tahoma"/>
            <family val="2"/>
          </rPr>
          <t xml:space="preserve">
I checked the resolution with Portuguese(smaller file), it seems the resolution is the same(tested with large TV screen).
So it's safe now to merge it onto Portuguese videos(smaller file)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<sst xmlns="http://schemas.openxmlformats.org/spreadsheetml/2006/main" count="475" uniqueCount="243">
  <si>
    <t>Content</t>
  </si>
  <si>
    <t>item_name</t>
  </si>
  <si>
    <t>filesize</t>
  </si>
  <si>
    <t>filesize_prop</t>
  </si>
  <si>
    <t>$AV_ASW</t>
  </si>
  <si>
    <t>$RECYCLE.BIN</t>
  </si>
  <si>
    <t>22Apr DeskTop</t>
  </si>
  <si>
    <t>D_Documents</t>
  </si>
  <si>
    <t>D_Download</t>
  </si>
  <si>
    <t>D_Music</t>
  </si>
  <si>
    <t>D_Pictures</t>
  </si>
  <si>
    <t>D_Video</t>
  </si>
  <si>
    <t>D_Video_Python</t>
  </si>
  <si>
    <t>GoogleDrive</t>
  </si>
  <si>
    <t>System Volume Information</t>
  </si>
  <si>
    <t>W_Documents</t>
  </si>
  <si>
    <t>W_Pictures</t>
  </si>
  <si>
    <t>BigBang French</t>
  </si>
  <si>
    <t>BigBang Portugues</t>
  </si>
  <si>
    <t>BigBang_FR Saison 3</t>
  </si>
  <si>
    <t>Cartoons</t>
  </si>
  <si>
    <t>desktop.ini</t>
  </si>
  <si>
    <t>Downloads</t>
  </si>
  <si>
    <t>Excel Template 01.xlsx</t>
  </si>
  <si>
    <t>From Youtube</t>
  </si>
  <si>
    <t>Haven'tWatched</t>
  </si>
  <si>
    <t>HelloWord</t>
  </si>
  <si>
    <t>IdeasVideos</t>
  </si>
  <si>
    <t>Learn French</t>
  </si>
  <si>
    <t>The Ark Season 01 Portuguese</t>
  </si>
  <si>
    <t>Westworld Portugues 04</t>
  </si>
  <si>
    <t>_Other02</t>
  </si>
  <si>
    <t>index</t>
  </si>
  <si>
    <t>Avatar - O Caminho da Água 2022 WEB-DL 1080p x264 DUAL 7.1</t>
  </si>
  <si>
    <t>Avatar The Way of Water (2022)_PT.mkv</t>
  </si>
  <si>
    <t>Download From.txt</t>
  </si>
  <si>
    <t>The Hunger Games (2012)_PT.mkv</t>
  </si>
  <si>
    <t>The Hunger Games (2012)_PT.srt</t>
  </si>
  <si>
    <t>The Hunger Games Catching Fire (2013)_PT.mkv</t>
  </si>
  <si>
    <t>The Hunger Games Catching Fire (2013)_PT.srt</t>
  </si>
  <si>
    <t>The Hunger Games Mockingjay Part1 (2014)_PT.mkv</t>
  </si>
  <si>
    <t>The Hunger Games Mockingjay Part1 (2014)_PT.srt</t>
  </si>
  <si>
    <t>The Hunger Games Mockingjay Part2 (2015)_PT.mkv</t>
  </si>
  <si>
    <t>The Hunger Games Mockingjay Part2 (2015)_PT.srt</t>
  </si>
  <si>
    <t>D_download_video_2023</t>
  </si>
  <si>
    <t>BigBang French Subtitle</t>
  </si>
  <si>
    <t>COMANDO.TO - The 100 S07E01 [1080p] DUAL</t>
  </si>
  <si>
    <t>Download_Nov_09_2024.png</t>
  </si>
  <si>
    <t>fil_roud_ana_shuftil_gamil.rm</t>
  </si>
  <si>
    <t>House of Dragon_EN Season 1</t>
  </si>
  <si>
    <t>Jogos Vorazes - A Cantiga dos Pássaros e das Serpentes 2023 WEB-DL 1080p x264 FULLHD DUAL 5.1</t>
  </si>
  <si>
    <t>maqam_ajam_B_flat.rm</t>
  </si>
  <si>
    <t>The 100 - 5ª Temporada Completa (720p) Acesse o ORIGINAL  WWW.BLUDV.TV</t>
  </si>
  <si>
    <t>The 100 - 6</t>
  </si>
  <si>
    <t>The 100 - 6 Bluedv</t>
  </si>
  <si>
    <t>The 100 - 7</t>
  </si>
  <si>
    <t>the-big-bang-theory-sixth-season_french-2042705.zip</t>
  </si>
  <si>
    <t>[WWW.BLUDV.TV] The 100 2019 - S06E02 (1080p) Acesse o ORIGINAL WWW.BLUDV.TV</t>
  </si>
  <si>
    <t>D_download_video_2024</t>
  </si>
  <si>
    <t>Users</t>
  </si>
  <si>
    <t>C_Download</t>
  </si>
  <si>
    <t>C_Video_Python</t>
  </si>
  <si>
    <t>Program Files (x86)</t>
  </si>
  <si>
    <t>The Sims 4</t>
  </si>
  <si>
    <t>Windows</t>
  </si>
  <si>
    <t>704.6 GB</t>
  </si>
  <si>
    <t>input_video_path</t>
  </si>
  <si>
    <t>input_media_path</t>
  </si>
  <si>
    <t>media_type</t>
  </si>
  <si>
    <t>title</t>
  </si>
  <si>
    <t>lang_code_3alpha</t>
  </si>
  <si>
    <t>C:\C_Video_Python\Merge Language Video\BigBang PT Season 06\BigBang PT S06E01.mkv</t>
  </si>
  <si>
    <t>C:\C_Video_Python\Merge Language Video\BigBang PT Season 06\BigBang PT S06E01.srt</t>
  </si>
  <si>
    <t>subtitle</t>
  </si>
  <si>
    <t>Portuguese_Brazilian_whisper</t>
  </si>
  <si>
    <t>C:\C_Video_Python\Merge Language Video\BigBang FR Season 06\Season 06 Audio\BigBang FR S06E01_FR.mp3</t>
  </si>
  <si>
    <t>audio</t>
  </si>
  <si>
    <t>French_whisper</t>
  </si>
  <si>
    <t>fre</t>
  </si>
  <si>
    <t>French</t>
  </si>
  <si>
    <t>C:\C_Video_Python\Merge Language Video\BigBang FR Season 06\Season 06 Audio\French Subtitle\BigBang FR S06E01_FR.srt</t>
  </si>
  <si>
    <t>por</t>
  </si>
  <si>
    <t>Track3</t>
  </si>
  <si>
    <t>actual_title</t>
  </si>
  <si>
    <t>English</t>
  </si>
  <si>
    <t>ffmpeg</t>
  </si>
  <si>
    <t>C:\C_Video_Python\Merge Language Video\BigBang PT Season 06\BigBang PT S06E02.mkv</t>
  </si>
  <si>
    <t>C:\C_Video_Python\Merge Language Video\BigBang PT Season 06\BigBang PT S06E02.srt</t>
  </si>
  <si>
    <t>C:\C_Video_Python\Merge Language Video\BigBang FR Season 06\Season 06 Audio\BigBang FR S06E02_FR.mp3</t>
  </si>
  <si>
    <t>C:\C_Video_Python\Merge Language Video\BigBang FR Season 06\Season 06 Audio\French Subtitle\BigBang FR S06E02_FR.srt</t>
  </si>
  <si>
    <t>1:s</t>
  </si>
  <si>
    <t>2:a</t>
  </si>
  <si>
    <t>3:s</t>
  </si>
  <si>
    <t>-metadata:s:s:0</t>
  </si>
  <si>
    <t>-metadata:s:a:0</t>
  </si>
  <si>
    <t>-metadata:s:s:1</t>
  </si>
  <si>
    <t>-i</t>
  </si>
  <si>
    <t>-MAP</t>
  </si>
  <si>
    <t>-metadata:s:s:2</t>
  </si>
  <si>
    <t>-metadata:s:a:2</t>
  </si>
  <si>
    <t>language'por</t>
  </si>
  <si>
    <t>title'Portuguese_Brazilian_whisper</t>
  </si>
  <si>
    <t>language'fre</t>
  </si>
  <si>
    <t>title'French</t>
  </si>
  <si>
    <t>title'French_whisper</t>
  </si>
  <si>
    <t>Merge into Portuguese Video</t>
  </si>
  <si>
    <t>Merge into French Video</t>
  </si>
  <si>
    <t>Extract original Portuguese subtitle</t>
  </si>
  <si>
    <t>Extract English subtitle from FR video</t>
  </si>
  <si>
    <t>Extract FR orginal subtitle</t>
  </si>
  <si>
    <t>output_folder</t>
  </si>
  <si>
    <t>output_name</t>
  </si>
  <si>
    <t>BigBang All S06E02_v02.mkv</t>
  </si>
  <si>
    <t>C:\C_Video_Python\Merge Language Video\tests\outputs</t>
  </si>
  <si>
    <t>BigBang PT S06E01.mkv</t>
  </si>
  <si>
    <t>input_video_name</t>
  </si>
  <si>
    <t>BigBang Season 01</t>
  </si>
  <si>
    <t>BigBang Season 02</t>
  </si>
  <si>
    <t>BigBang Season 03</t>
  </si>
  <si>
    <t>BigBang Season 04</t>
  </si>
  <si>
    <t>BigBang Season 05</t>
  </si>
  <si>
    <t>BigBang Season 06</t>
  </si>
  <si>
    <t>BigBang Season 07</t>
  </si>
  <si>
    <t>BigBang Season 08</t>
  </si>
  <si>
    <t>BigBang Season 09</t>
  </si>
  <si>
    <t>BigBang Season 10</t>
  </si>
  <si>
    <t>BigBang Season 11</t>
  </si>
  <si>
    <t>BigBang Season 12</t>
  </si>
  <si>
    <t>filesize(PT)</t>
  </si>
  <si>
    <t>filesize(FR)</t>
  </si>
  <si>
    <t>nan</t>
  </si>
  <si>
    <t>total filesize</t>
  </si>
  <si>
    <t>reduction(%)</t>
  </si>
  <si>
    <t>BigBang PT S06E02.mkv</t>
  </si>
  <si>
    <t>BigBang PT S06E03.mkv</t>
  </si>
  <si>
    <t>BigBang PT S06E04.mkv</t>
  </si>
  <si>
    <t>BigBang PT S06E05.mkv</t>
  </si>
  <si>
    <t>BigBang PT S06E06.mkv</t>
  </si>
  <si>
    <t>BigBang PT S06E07.mkv</t>
  </si>
  <si>
    <t>BigBang PT S06E08.mkv</t>
  </si>
  <si>
    <t>BigBang PT S06E09.mkv</t>
  </si>
  <si>
    <t>BigBang PT S06E10.mkv</t>
  </si>
  <si>
    <t>BigBang PT S06E11.mkv</t>
  </si>
  <si>
    <t>BigBang PT S06E12.mkv</t>
  </si>
  <si>
    <t>BigBang PT S06E13.mkv</t>
  </si>
  <si>
    <t>BigBang PT S06E14.mkv</t>
  </si>
  <si>
    <t>BigBang PT S06E15.mkv</t>
  </si>
  <si>
    <t>BigBang PT S06E16.mkv</t>
  </si>
  <si>
    <t>BigBang PT S06E17.mkv</t>
  </si>
  <si>
    <t>BigBang PT S06E18.mkv</t>
  </si>
  <si>
    <t>BigBang PT S06E19.mkv</t>
  </si>
  <si>
    <t>BigBang PT S06E20.mkv</t>
  </si>
  <si>
    <t>BigBang PT S06E21.mkv</t>
  </si>
  <si>
    <t>BigBang PT S06E22.mkv</t>
  </si>
  <si>
    <t>BigBang PT S06E23.mkv</t>
  </si>
  <si>
    <t>BigBang PT S06E24.mkv</t>
  </si>
  <si>
    <t>Season 6</t>
  </si>
  <si>
    <t>filesize(merged)</t>
  </si>
  <si>
    <t>saved(mem)</t>
  </si>
  <si>
    <t>Avg reduction</t>
  </si>
  <si>
    <t>Current total filesize
s1 to s11</t>
  </si>
  <si>
    <t>Expected Impact
(memory saved)</t>
  </si>
  <si>
    <t>filesize(DE)</t>
  </si>
  <si>
    <t>The 100 Season 01</t>
  </si>
  <si>
    <t>The 100 Season 02</t>
  </si>
  <si>
    <t>The 100 Season 03</t>
  </si>
  <si>
    <t>The 100 Season 04</t>
  </si>
  <si>
    <t>The 100 Season 05</t>
  </si>
  <si>
    <t>The 100 Season 06</t>
  </si>
  <si>
    <t>The 100 Season 07</t>
  </si>
  <si>
    <t>FR</t>
  </si>
  <si>
    <t>PT</t>
  </si>
  <si>
    <t>increase(%)</t>
  </si>
  <si>
    <t>Overall</t>
  </si>
  <si>
    <t>actual memory saved</t>
  </si>
  <si>
    <t>filesize_gdrive</t>
  </si>
  <si>
    <t>Harry Potter and the Sorcerer's Stone.mp4</t>
  </si>
  <si>
    <t>Harry Potter and the Prisoner of Azkaban.mp4</t>
  </si>
  <si>
    <t>Harry Potter and the Order of the Phoenix.mp4</t>
  </si>
  <si>
    <t>Harry Potter and the Goblet of Fire.mp4</t>
  </si>
  <si>
    <t>Harry Potter and the Half-Blood Prince.mp4</t>
  </si>
  <si>
    <t>Harry Potter and the Deathly Hallows_ Part 2.mp4</t>
  </si>
  <si>
    <t>Harry Potter and the Deathly Hallows_ Part 1.mp4</t>
  </si>
  <si>
    <t>Harry Potter and the Chamber of Secrets.mp4</t>
  </si>
  <si>
    <t>C_Audacity recording</t>
  </si>
  <si>
    <t>C_Documents</t>
  </si>
  <si>
    <t>DVDFab</t>
  </si>
  <si>
    <t>C_Video</t>
  </si>
  <si>
    <t>C_Pictures</t>
  </si>
  <si>
    <t>C_OBS recordings</t>
  </si>
  <si>
    <t>C_Music</t>
  </si>
  <si>
    <t>size</t>
  </si>
  <si>
    <t>size_formatted</t>
  </si>
  <si>
    <t>C_folders</t>
  </si>
  <si>
    <t>App_data</t>
  </si>
  <si>
    <t>anaconda3</t>
  </si>
  <si>
    <t>status</t>
  </si>
  <si>
    <t>irreducible</t>
  </si>
  <si>
    <t>Portuguese</t>
  </si>
  <si>
    <t>Polyglot</t>
  </si>
  <si>
    <t>Japanese Anime</t>
  </si>
  <si>
    <t>Series</t>
  </si>
  <si>
    <t>HBO Series</t>
  </si>
  <si>
    <t>Netflix Series</t>
  </si>
  <si>
    <t>Movies</t>
  </si>
  <si>
    <t>Other</t>
  </si>
  <si>
    <t>g_drive</t>
  </si>
  <si>
    <t>Westworld</t>
  </si>
  <si>
    <t>$Recycle.Bin</t>
  </si>
  <si>
    <t>FFOutput</t>
  </si>
  <si>
    <t>hiberfil.sys</t>
  </si>
  <si>
    <t>H_Documents</t>
  </si>
  <si>
    <t>pagefile.sys</t>
  </si>
  <si>
    <t>Program Files</t>
  </si>
  <si>
    <t>ProgramData</t>
  </si>
  <si>
    <t>from WinDirStat</t>
  </si>
  <si>
    <t>Game of Thrones</t>
  </si>
  <si>
    <t>House of Dragon</t>
  </si>
  <si>
    <t>Dune Prophecy</t>
  </si>
  <si>
    <t>root_folder</t>
  </si>
  <si>
    <t>Sherlock</t>
  </si>
  <si>
    <t>The Big Bang Theory</t>
  </si>
  <si>
    <t>The 100</t>
  </si>
  <si>
    <t>Detective Conan</t>
  </si>
  <si>
    <t>Yu-Gi-Oh!</t>
  </si>
  <si>
    <t>01_Harry Potter</t>
  </si>
  <si>
    <t>03_Hunger Games</t>
  </si>
  <si>
    <t>Inception.mp4</t>
  </si>
  <si>
    <t>02_Fantastic Beasts</t>
  </si>
  <si>
    <t>Dune Part1 (2021)_PT.mkv</t>
  </si>
  <si>
    <t>Dune Part2 (2024)_PT.mkv</t>
  </si>
  <si>
    <t>action</t>
  </si>
  <si>
    <t>Nothing</t>
  </si>
  <si>
    <t>move EN folder to bluedrive</t>
  </si>
  <si>
    <t>memory saved</t>
  </si>
  <si>
    <t>D_Drive(2 TB)</t>
  </si>
  <si>
    <t>Die Tribute von Panem - The Ballad of Songbirds &amp; Snakes.mkv</t>
  </si>
  <si>
    <t>The Expanse</t>
  </si>
  <si>
    <t>The Lord of the Rings_ The Rings of Power</t>
  </si>
  <si>
    <t>The Man In The High Castle (4K UHD)</t>
  </si>
  <si>
    <t>The Mentalist</t>
  </si>
  <si>
    <t>The Wheel of Time</t>
  </si>
  <si>
    <t>Upload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</si>
</sst>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1" formatCode="_(* #,##0_);_(* \(#,##0\);_(* &quot;-&quot;_);_(@_)"/>
    <numFmt numFmtId="43" formatCode="_(* #,##0.00_);_(* \(#,##0.00\);_(* &quot;-&quot;??_);_(@_)"/>
    <numFmt numFmtId="164" formatCode="&quot;seed = &quot;\ General"/>
    <numFmt numFmtId="165" formatCode="&quot;n = &quot;\ General"/>
    <numFmt numFmtId="166" formatCode="0.00,,\ &quot;GB&quot;"/>
    <numFmt numFmtId="167" formatCode="0.000"/>
    <numFmt numFmtId="168" formatCode="_(* #,##0_);_(* \(#,##0\);_(* &quot;-&quot;??_);_(@_)"/>
    <numFmt numFmtId="169" formatCode="0.0,,\ &quot;GB&quot;"/>
    <numFmt numFmtId="170" formatCode="0.0"/>
    <numFmt numFmtId="171" formatCode="0.0\ &quot;GB&quot;"/>
    <numFmt numFmtId="172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7">
    <xf numFmtId="0" fontId="0" fillId="0" borderId="0"/>
    <xf numFmtId="164" fontId="1" fillId="0" borderId="0"/>
    <xf numFmtId="165" fontId="1" fillId="0" borderId="0"/>
    <xf numFmtId="0" fontId="2" fillId="0" borderId="0" applyNumberForma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2" fillId="3" borderId="0" xfId="3" applyFill="1"/>
    <xf numFmtId="41" fontId="0" fillId="0" borderId="0" xfId="4" applyFont="1"/>
    <xf numFmtId="10" fontId="0" fillId="0" borderId="0" xfId="5" applyNumberFormat="1" applyFont="1"/>
    <xf numFmtId="11" fontId="0" fillId="0" borderId="0" xfId="5" applyNumberFormat="1" applyFont="1"/>
    <xf numFmtId="0" fontId="2" fillId="0" borderId="0" xfId="3"/>
    <xf numFmtId="0" fontId="3" fillId="0" borderId="0" xfId="0" applyFont="1"/>
    <xf numFmtId="41" fontId="3" fillId="0" borderId="0" xfId="4" applyFont="1"/>
    <xf numFmtId="10" fontId="3" fillId="0" borderId="0" xfId="5" applyNumberFormat="1" applyFont="1"/>
    <xf numFmtId="0" fontId="0" fillId="4" borderId="0" xfId="0" applyFill="1"/>
    <xf numFmtId="0" fontId="0" fillId="0" borderId="0" xfId="0" quotePrefix="1"/>
    <xf numFmtId="0" fontId="0" fillId="2" borderId="0" xfId="0" quotePrefix="1" applyFill="1"/>
    <xf numFmtId="0" fontId="0" fillId="5" borderId="0" xfId="0" applyFill="1"/>
    <xf numFmtId="0" fontId="0" fillId="5" borderId="0" xfId="0" quotePrefix="1" applyFill="1"/>
    <xf numFmtId="0" fontId="0" fillId="6" borderId="0" xfId="0" quotePrefix="1" applyFill="1"/>
    <xf numFmtId="0" fontId="0" fillId="6" borderId="0" xfId="0" applyFill="1"/>
    <xf numFmtId="11" fontId="0" fillId="0" borderId="0" xfId="0" applyNumberFormat="1"/>
    <xf numFmtId="41" fontId="0" fillId="0" borderId="0" xfId="0" applyNumberFormat="1"/>
    <xf numFmtId="41" fontId="0" fillId="0" borderId="1" xfId="0" applyNumberFormat="1" applyBorder="1"/>
    <xf numFmtId="166" fontId="0" fillId="0" borderId="0" xfId="0" applyNumberFormat="1"/>
    <xf numFmtId="10" fontId="0" fillId="0" borderId="0" xfId="0" applyNumberFormat="1"/>
    <xf numFmtId="0" fontId="0" fillId="0" borderId="0" xfId="0" applyAlignment="1">
      <alignment wrapText="1"/>
    </xf>
    <xf numFmtId="43" fontId="0" fillId="0" borderId="0" xfId="0" applyNumberFormat="1"/>
    <xf numFmtId="166" fontId="0" fillId="7" borderId="0" xfId="0" applyNumberFormat="1" applyFill="1"/>
    <xf numFmtId="167" fontId="0" fillId="0" borderId="0" xfId="0" applyNumberFormat="1"/>
    <xf numFmtId="166" fontId="0" fillId="0" borderId="1" xfId="0" applyNumberFormat="1" applyBorder="1"/>
    <xf numFmtId="0" fontId="0" fillId="8" borderId="0" xfId="0" applyFill="1"/>
    <xf numFmtId="41" fontId="0" fillId="8" borderId="0" xfId="4" applyFont="1" applyFill="1"/>
    <xf numFmtId="41" fontId="0" fillId="0" borderId="0" xfId="4" applyFont="1" applyFill="1"/>
    <xf numFmtId="168" fontId="0" fillId="0" borderId="0" xfId="6" applyNumberFormat="1" applyFont="1"/>
    <xf numFmtId="41" fontId="3" fillId="0" borderId="0" xfId="4" applyFont="1" applyFill="1"/>
    <xf numFmtId="10" fontId="0" fillId="0" borderId="1" xfId="5" applyNumberFormat="1" applyFont="1" applyBorder="1"/>
    <xf numFmtId="3" fontId="0" fillId="0" borderId="0" xfId="0" applyNumberFormat="1"/>
    <xf numFmtId="169" fontId="0" fillId="0" borderId="0" xfId="0" applyNumberFormat="1"/>
    <xf numFmtId="3" fontId="3" fillId="0" borderId="0" xfId="0" applyNumberFormat="1" applyFont="1"/>
    <xf numFmtId="166" fontId="3" fillId="0" borderId="0" xfId="0" applyNumberFormat="1" applyFont="1"/>
    <xf numFmtId="168" fontId="3" fillId="0" borderId="0" xfId="6" applyNumberFormat="1" applyFont="1"/>
    <xf numFmtId="0" fontId="7" fillId="0" borderId="0" xfId="0" applyFont="1"/>
    <xf numFmtId="166" fontId="7" fillId="0" borderId="0" xfId="0" applyNumberFormat="1" applyFont="1"/>
    <xf numFmtId="170" fontId="0" fillId="0" borderId="0" xfId="0" applyNumberFormat="1"/>
    <xf numFmtId="171" fontId="0" fillId="0" borderId="0" xfId="0" applyNumberFormat="1"/>
    <xf numFmtId="171" fontId="0" fillId="0" borderId="1" xfId="0" applyNumberFormat="1" applyBorder="1"/>
    <xf numFmtId="172" fontId="0" fillId="0" borderId="0" xfId="5" applyNumberFormat="1" applyFont="1"/>
    <xf numFmtId="172" fontId="3" fillId="0" borderId="0" xfId="5" applyNumberFormat="1" applyFont="1"/>
  </cellXfs>
  <cellStyles count="7">
    <cellStyle name="Comma" xfId="6" builtinId="3"/>
    <cellStyle name="Comma [0]" xfId="4" builtinId="6"/>
    <cellStyle name="Hyperlink" xfId="3" builtinId="8"/>
    <cellStyle name="n" xfId="2" xr:uid="{7FBBF2BB-1368-412F-9496-4DCF337A8A3E}"/>
    <cellStyle name="Normal" xfId="0" builtinId="0"/>
    <cellStyle name="Percent" xfId="5" builtinId="5"/>
    <cellStyle name="Seed" xfId="1" xr:uid="{4A0D491D-CCDF-4BB5-8111-CF9096B52C44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5" formatCode="0.00E+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FF66FF"/>
      <color rgb="FF1E0000"/>
      <color rgb="FFFFCCCC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</xdr:colOff>
      <xdr:row>6</xdr:row>
      <xdr:rowOff>0</xdr:rowOff>
    </xdr:from>
    <xdr:to>
      <xdr:col>7</xdr:col>
      <xdr:colOff>151076</xdr:colOff>
      <xdr:row>10</xdr:row>
      <xdr:rowOff>71562</xdr:rowOff>
    </xdr:to>
    <xdr:sp macro="[3]!S_RemoveLambdaDuplicates" textlink="">
      <xdr:nvSpPr>
        <xdr:cNvPr id="2" name="Rectangle01">
          <a:extLst>
            <a:ext uri="{FF2B5EF4-FFF2-40B4-BE49-F238E27FC236}">
              <a16:creationId xmlns:a16="http://schemas.microsoft.com/office/drawing/2014/main" id="{E35CA17E-D5B2-4A58-A8C5-740EA4374886}"/>
            </a:ext>
          </a:extLst>
        </xdr:cNvPr>
        <xdr:cNvSpPr/>
      </xdr:nvSpPr>
      <xdr:spPr>
        <a:xfrm>
          <a:off x="2971801" y="1097280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Remove Lambda</a:t>
          </a:r>
        </a:p>
      </xdr:txBody>
    </xdr:sp>
    <xdr:clientData/>
  </xdr:twoCellAnchor>
  <xdr:twoCellAnchor>
    <xdr:from>
      <xdr:col>4</xdr:col>
      <xdr:colOff>0</xdr:colOff>
      <xdr:row>12</xdr:row>
      <xdr:rowOff>71562</xdr:rowOff>
    </xdr:from>
    <xdr:to>
      <xdr:col>7</xdr:col>
      <xdr:colOff>151075</xdr:colOff>
      <xdr:row>16</xdr:row>
      <xdr:rowOff>143124</xdr:rowOff>
    </xdr:to>
    <xdr:sp macro="[3]!VBE_CopyVBA_SavedWB" textlink="">
      <xdr:nvSpPr>
        <xdr:cNvPr id="3" name="Rectangle01">
          <a:extLst>
            <a:ext uri="{FF2B5EF4-FFF2-40B4-BE49-F238E27FC236}">
              <a16:creationId xmlns:a16="http://schemas.microsoft.com/office/drawing/2014/main" id="{4CA4CA7C-DEFD-4CAE-B72C-E7C1B51352DE}"/>
            </a:ext>
          </a:extLst>
        </xdr:cNvPr>
        <xdr:cNvSpPr/>
      </xdr:nvSpPr>
      <xdr:spPr>
        <a:xfrm>
          <a:off x="2971800" y="2266122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rgbClr val="FFC000"/>
              </a:solidFill>
            </a:rPr>
            <a:t>Copy VBA Code</a:t>
          </a:r>
        </a:p>
      </xdr:txBody>
    </xdr:sp>
    <xdr:clientData/>
  </xdr:twoCellAnchor>
  <xdr:twoCellAnchor>
    <xdr:from>
      <xdr:col>8</xdr:col>
      <xdr:colOff>286248</xdr:colOff>
      <xdr:row>6</xdr:row>
      <xdr:rowOff>79513</xdr:rowOff>
    </xdr:from>
    <xdr:to>
      <xdr:col>11</xdr:col>
      <xdr:colOff>437323</xdr:colOff>
      <xdr:row>10</xdr:row>
      <xdr:rowOff>151075</xdr:rowOff>
    </xdr:to>
    <xdr:sp macro="[3]!S_VocabTemplate" textlink="">
      <xdr:nvSpPr>
        <xdr:cNvPr id="4" name="Rectangle01">
          <a:extLst>
            <a:ext uri="{FF2B5EF4-FFF2-40B4-BE49-F238E27FC236}">
              <a16:creationId xmlns:a16="http://schemas.microsoft.com/office/drawing/2014/main" id="{59B8A7EE-E749-4EB6-B8AB-75952E4B5AEE}"/>
            </a:ext>
          </a:extLst>
        </xdr:cNvPr>
        <xdr:cNvSpPr/>
      </xdr:nvSpPr>
      <xdr:spPr>
        <a:xfrm>
          <a:off x="5696448" y="1176793"/>
          <a:ext cx="1979875" cy="803082"/>
        </a:xfrm>
        <a:prstGeom prst="roundRect">
          <a:avLst/>
        </a:prstGeom>
        <a:solidFill>
          <a:srgbClr val="00206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accent2"/>
              </a:solidFill>
            </a:rPr>
            <a:t>Vocab Template</a:t>
          </a:r>
        </a:p>
      </xdr:txBody>
    </xdr:sp>
    <xdr:clientData/>
  </xdr:twoCellAnchor>
  <xdr:twoCellAnchor editAs="oneCell">
    <xdr:from>
      <xdr:col>8</xdr:col>
      <xdr:colOff>47708</xdr:colOff>
      <xdr:row>14</xdr:row>
      <xdr:rowOff>111319</xdr:rowOff>
    </xdr:from>
    <xdr:to>
      <xdr:col>15</xdr:col>
      <xdr:colOff>169627</xdr:colOff>
      <xdr:row>28</xdr:row>
      <xdr:rowOff>153945</xdr:rowOff>
    </xdr:to>
    <xdr:pic>
      <xdr:nvPicPr>
        <xdr:cNvPr id="5" name="Picture 4" descr="A screenshot of a computer program&#10;&#10;Description automatically generated">
          <a:extLst>
            <a:ext uri="{FF2B5EF4-FFF2-40B4-BE49-F238E27FC236}">
              <a16:creationId xmlns:a16="http://schemas.microsoft.com/office/drawing/2014/main" id="{093AC818-B4A6-4DEB-AF4F-4BCB2E815B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57908" y="2671639"/>
          <a:ext cx="4389119" cy="2602946"/>
        </a:xfrm>
        <a:prstGeom prst="rect">
          <a:avLst/>
        </a:prstGeom>
      </xdr:spPr>
    </xdr:pic>
    <xdr:clientData/>
  </xdr:twoCellAnchor>
  <xdr:twoCellAnchor>
    <xdr:from>
      <xdr:col>16</xdr:col>
      <xdr:colOff>190168</xdr:colOff>
      <xdr:row>14</xdr:row>
      <xdr:rowOff>138049</xdr:rowOff>
    </xdr:from>
    <xdr:to>
      <xdr:col>18</xdr:col>
      <xdr:colOff>388288</xdr:colOff>
      <xdr:row>18</xdr:row>
      <xdr:rowOff>176481</xdr:rowOff>
    </xdr:to>
    <xdr:sp macro="[3]!MakeMyLibTemplateFile" textlink="">
      <xdr:nvSpPr>
        <xdr:cNvPr id="6" name="Rectangle: Diagonal Corners Snipped 5">
          <a:extLst>
            <a:ext uri="{FF2B5EF4-FFF2-40B4-BE49-F238E27FC236}">
              <a16:creationId xmlns:a16="http://schemas.microsoft.com/office/drawing/2014/main" id="{38D7B387-6E29-4A1C-A85B-2AD8D32EB151}"/>
            </a:ext>
          </a:extLst>
        </xdr:cNvPr>
        <xdr:cNvSpPr/>
      </xdr:nvSpPr>
      <xdr:spPr>
        <a:xfrm>
          <a:off x="10477168" y="2698369"/>
          <a:ext cx="1417320" cy="769952"/>
        </a:xfrm>
        <a:prstGeom prst="snip2DiagRect">
          <a:avLst/>
        </a:prstGeom>
        <a:solidFill>
          <a:srgbClr val="FF0000"/>
        </a:solidFill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Delete</a:t>
          </a:r>
          <a:r>
            <a:rPr lang="en-US" sz="1100" baseline="0">
              <a:solidFill>
                <a:sysClr val="windowText" lastClr="000000"/>
              </a:solidFill>
            </a:rPr>
            <a:t> All sheets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VBA%20VSCode/V5%20MLR%20Validation_VBA_v06_latest.xlsm" TargetMode="External"/><Relationship Id="rId1" Type="http://schemas.openxmlformats.org/officeDocument/2006/relationships/externalLinkPath" Target="/b77f1fd521beb67c/VBA%20VSCode/VBA-MyLib/V5%20MLR%20Validation_VBA_v06_lates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Book1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.docs.live.net/b77f1fd521beb67c/D_Documents/_Learn%20Languages/Portuguese/_LearnLanguages%2008%20Portuguese/ChatGPT%20Sentence%20PT%2001.xlsm" TargetMode="External"/><Relationship Id="rId1" Type="http://schemas.openxmlformats.org/officeDocument/2006/relationships/externalLinkPath" Target="/B77F1FD521BEB67C/D_Documents/_Learn%20Languages/Portuguese/_LearnLanguages%2008%20Portuguese/ChatGPT%20Sentence%20PT%2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verview"/>
      <sheetName val="λFormula"/>
      <sheetName val="Mapping"/>
      <sheetName val="mistake_report"/>
      <sheetName val="mistake_report2"/>
      <sheetName val="OD_Dry_Freq"/>
      <sheetName val="OD_Dry_Freq_Cal"/>
      <sheetName val="OD_Dry_Sev"/>
      <sheetName val="OD_Dry_Sev_Cal"/>
      <sheetName val="OD_Fresh_Freq"/>
      <sheetName val="OD_Fresh_Freq_Cal"/>
      <sheetName val="OD_Fresh_Sev"/>
      <sheetName val="OD_Fresh_Sev_Cal"/>
      <sheetName val="TPPD_Freq"/>
      <sheetName val="TPPD_Freq_Cal"/>
      <sheetName val="TPPD_Sev"/>
      <sheetName val="TPPD_Sev_Cal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4"/>
      <sheetName val="Book1"/>
    </sheetNames>
    <definedNames>
      <definedName name="St_TextBetween" refersTo="#REF!"/>
    </definedNames>
    <sheetDataSet>
      <sheetData sheetId="0" refreshError="1"/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n1"/>
      <sheetName val="Sen2_Command"/>
      <sheetName val="Sen3_prompt"/>
      <sheetName val="Sheet1"/>
      <sheetName val="Button"/>
      <sheetName val="UsePrompt"/>
      <sheetName val="ChatGPT Sentence PT 01"/>
      <sheetName val="Code_definition"/>
      <sheetName val="e00eb4de3c8a421cba9b8f4cb8546ec"/>
    </sheetNames>
    <definedNames>
      <definedName name="MakeMyLibTemplateFile"/>
      <definedName name="S_RemoveLambdaDuplicates"/>
      <definedName name="S_VocabTemplate"/>
      <definedName name="VBE_CopyVBA_SavedWB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3983D9-D567-4BC1-A1B8-1557ED6F1B04}" name="Table1" displayName="Table1" ref="A1:D14" totalsRowShown="0">
  <autoFilter ref="A1:D14" xr:uid="{B772CE04-CA19-4BAF-B63F-8C6831E6A8DD}"/>
  <sortState xmlns:xlrd2="http://schemas.microsoft.com/office/spreadsheetml/2017/richdata2" ref="A2:D14">
    <sortCondition descending="1" ref="D1:D14"/>
  </sortState>
  <tableColumns count="4">
    <tableColumn id="1" xr3:uid="{EA9D8AE2-C8D1-4017-930D-1E9AC88B9539}" name="index"/>
    <tableColumn id="2" xr3:uid="{5A028AE3-21B1-4518-9EFD-3A5D859C443B}" name="item_name"/>
    <tableColumn id="3" xr3:uid="{57D89C9E-B3EC-490B-9EE7-1A40362FC758}" name="filesize" dataDxfId="9" dataCellStyle="Comma [0]"/>
    <tableColumn id="4" xr3:uid="{EFF5CC31-F3EF-4D8E-B4D8-C69407F08978}" name="filesize_prop" dataDxfId="8" dataCellStyle="Perce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77727C-8848-4DB8-80B6-557815A6560C}" name="Table2" displayName="Table2" ref="A18:D33" totalsRowShown="0">
  <autoFilter ref="A18:D33" xr:uid="{0877727C-8848-4DB8-80B6-557815A6560C}"/>
  <sortState xmlns:xlrd2="http://schemas.microsoft.com/office/spreadsheetml/2017/richdata2" ref="A19:D33">
    <sortCondition descending="1" ref="D18:D33"/>
  </sortState>
  <tableColumns count="4">
    <tableColumn id="1" xr3:uid="{52680EC0-EE19-489B-8DA6-C250838C6CA7}" name="index"/>
    <tableColumn id="2" xr3:uid="{89C06066-7677-4BC3-A743-C3CD0F334992}" name="item_name"/>
    <tableColumn id="3" xr3:uid="{F370CA18-B5B6-4A10-A46B-03A657B62078}" name="filesize" dataDxfId="7" dataCellStyle="Comma [0]"/>
    <tableColumn id="4" xr3:uid="{CC204F28-4E07-4BC2-8343-AEA74FE006C9}" name="filesize_prop" dataDxfId="6" dataCellStyle="Perc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E282A5-1E5B-4DE8-8443-3C274E6FD675}" name="Table4" displayName="Table4" ref="A37:D48" totalsRowShown="0">
  <autoFilter ref="A37:D48" xr:uid="{36E282A5-1E5B-4DE8-8443-3C274E6FD675}"/>
  <sortState xmlns:xlrd2="http://schemas.microsoft.com/office/spreadsheetml/2017/richdata2" ref="A38:D48">
    <sortCondition descending="1" ref="C37:C48"/>
  </sortState>
  <tableColumns count="4">
    <tableColumn id="1" xr3:uid="{8DE773E8-0629-4DC1-B873-2B91DA3ECF29}" name="index"/>
    <tableColumn id="2" xr3:uid="{925B59D7-A1ED-4113-A581-D5C78D743310}" name="item_name"/>
    <tableColumn id="3" xr3:uid="{B144E4E9-7E5D-4BAC-991A-0F2BD0600FBC}" name="filesize" dataDxfId="5" dataCellStyle="Comma [0]"/>
    <tableColumn id="4" xr3:uid="{40064E6E-DC16-44A0-9292-DC4E0ADC9FE0}" name="filesize_prop" dataDxfId="4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45B6A5A-B1C0-4143-8F11-4E0A9ADB04B4}" name="Table5" displayName="Table5" ref="A52:D65" totalsRowShown="0">
  <autoFilter ref="A52:D65" xr:uid="{D45B6A5A-B1C0-4143-8F11-4E0A9ADB04B4}"/>
  <sortState xmlns:xlrd2="http://schemas.microsoft.com/office/spreadsheetml/2017/richdata2" ref="A53:D65">
    <sortCondition descending="1" ref="C52:C65"/>
  </sortState>
  <tableColumns count="4">
    <tableColumn id="1" xr3:uid="{753A44E0-107D-46E9-A819-92985FF6B009}" name="index"/>
    <tableColumn id="2" xr3:uid="{86A6225C-0562-44A5-94CD-63CF1458A8E4}" name="item_name"/>
    <tableColumn id="3" xr3:uid="{A55B7997-E368-4CFB-BB68-BB7171CD71F0}" name="filesize" dataDxfId="3" dataCellStyle="Comma [0]"/>
    <tableColumn id="4" xr3:uid="{901998D2-4C6E-4AC4-8A8D-FE7BA254DB57}" name="filesize_prop" dataDxfId="2" dataCellStyle="Percent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31BA58F-7406-4FB4-9A56-11BD21EB25B9}" name="Table6" displayName="Table6" ref="A69:D88" totalsRowShown="0">
  <autoFilter ref="A69:D88" xr:uid="{531BA58F-7406-4FB4-9A56-11BD21EB25B9}"/>
  <sortState xmlns:xlrd2="http://schemas.microsoft.com/office/spreadsheetml/2017/richdata2" ref="A70:D88">
    <sortCondition descending="1" ref="C69:C88"/>
  </sortState>
  <tableColumns count="4">
    <tableColumn id="1" xr3:uid="{1E2FCBB4-F993-4E9A-9E6E-64D03199FB71}" name="index"/>
    <tableColumn id="2" xr3:uid="{ED4BB376-6592-4F9B-AA48-97101959282F}" name="item_name"/>
    <tableColumn id="3" xr3:uid="{033C8B39-7D24-4239-B03E-FFCADB13886F}" name="filesize" dataDxfId="1" dataCellStyle="Comma [0]"/>
    <tableColumn id="4" xr3:uid="{DDAC375E-25FA-45B4-8D49-827C65C09714}" name="filesize_prop" dataDxfId="0" dataCellStyle="Perc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63" row="1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7BA92E2-9D93-4EA2-96A5-DE3E8AF27620}">
  <we:reference id="wa200003696" version="1.1.0.0" store="en-US" storeType="OMEX"/>
  <we:alternateReferences>
    <we:reference id="WA200003696" version="1.1.0.0" store="WA200003696" storeType="OMEX"/>
  </we:alternateReferences>
  <we:properties>
    <we:property name="projectV0_1-56c6e055-265e-4713-816e-a646dbb708de" value="{&quot;kind&quot;:&quot;AFEJSONBlobNode&quot;,&quot;id&quot;:&quot;{F9AF9386-BEC9-4C74-A628-B2A97F12363B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 val="1"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2CE04-CA19-4BAF-B63F-8C6831E6A8DD}">
  <sheetPr codeName="Sheet1"/>
  <dimension ref="A1:D86"/>
  <sheetViews>
    <sheetView topLeftCell="A4" workbookViewId="0">
      <selection activeCell="H7" sqref="H7"/>
    </sheetView>
  </sheetViews>
  <sheetFormatPr defaultRowHeight="14.4" x14ac:dyDescent="0.3"/>
  <cols>
    <col min="1" max="1" width="10.44140625" customWidth="1"/>
    <col min="2" max="2" width="52.44140625" customWidth="1"/>
    <col min="3" max="3" width="17.5546875" style="3" customWidth="1"/>
    <col min="4" max="4" width="13.6640625" style="4" customWidth="1"/>
  </cols>
  <sheetData>
    <row r="1" spans="1:4" x14ac:dyDescent="0.3">
      <c r="A1" t="s">
        <v>32</v>
      </c>
      <c r="B1" t="s">
        <v>1</v>
      </c>
      <c r="C1" s="3" t="s">
        <v>2</v>
      </c>
      <c r="D1" s="4" t="s">
        <v>3</v>
      </c>
    </row>
    <row r="2" spans="1:4" x14ac:dyDescent="0.3">
      <c r="A2">
        <v>7</v>
      </c>
      <c r="B2" s="6" t="s">
        <v>11</v>
      </c>
      <c r="C2" s="3">
        <v>590724603.75699997</v>
      </c>
      <c r="D2" s="4">
        <v>0.68474090678897803</v>
      </c>
    </row>
    <row r="3" spans="1:4" x14ac:dyDescent="0.3">
      <c r="A3">
        <v>4</v>
      </c>
      <c r="B3" t="s">
        <v>8</v>
      </c>
      <c r="C3" s="3">
        <v>196161462.47299999</v>
      </c>
      <c r="D3" s="4">
        <v>0.22738138353564799</v>
      </c>
    </row>
    <row r="4" spans="1:4" x14ac:dyDescent="0.3">
      <c r="A4">
        <v>1</v>
      </c>
      <c r="B4" t="s">
        <v>5</v>
      </c>
      <c r="C4" s="3">
        <v>51569299.027999997</v>
      </c>
      <c r="D4" s="4">
        <v>5.9776769672912497E-2</v>
      </c>
    </row>
    <row r="5" spans="1:4" x14ac:dyDescent="0.3">
      <c r="A5">
        <v>3</v>
      </c>
      <c r="B5" t="s">
        <v>7</v>
      </c>
      <c r="C5" s="3">
        <v>10576917.332</v>
      </c>
      <c r="D5" s="4">
        <v>1.2260278171729901E-2</v>
      </c>
    </row>
    <row r="6" spans="1:4" x14ac:dyDescent="0.3">
      <c r="A6">
        <v>5</v>
      </c>
      <c r="B6" t="s">
        <v>9</v>
      </c>
      <c r="C6" s="3">
        <v>9456810.8629999999</v>
      </c>
      <c r="D6" s="4">
        <v>1.0961902051275001E-2</v>
      </c>
    </row>
    <row r="7" spans="1:4" x14ac:dyDescent="0.3">
      <c r="A7">
        <v>8</v>
      </c>
      <c r="B7" t="s">
        <v>12</v>
      </c>
      <c r="C7" s="3">
        <v>1923285.9709999999</v>
      </c>
      <c r="D7" s="4">
        <v>2.2293850153206102E-3</v>
      </c>
    </row>
    <row r="8" spans="1:4" x14ac:dyDescent="0.3">
      <c r="A8">
        <v>2</v>
      </c>
      <c r="B8" t="s">
        <v>6</v>
      </c>
      <c r="C8" s="3">
        <v>1588448.2050000001</v>
      </c>
      <c r="D8" s="4">
        <v>1.84125641180581E-3</v>
      </c>
    </row>
    <row r="9" spans="1:4" x14ac:dyDescent="0.3">
      <c r="A9">
        <v>6</v>
      </c>
      <c r="B9" t="s">
        <v>10</v>
      </c>
      <c r="C9" s="3">
        <v>648383.60199999996</v>
      </c>
      <c r="D9" s="4">
        <v>7.5157657689710301E-4</v>
      </c>
    </row>
    <row r="10" spans="1:4" x14ac:dyDescent="0.3">
      <c r="A10">
        <v>11</v>
      </c>
      <c r="B10" t="s">
        <v>15</v>
      </c>
      <c r="C10" s="3">
        <v>48495.851999999999</v>
      </c>
      <c r="D10" s="4">
        <v>5.6214170635161302E-5</v>
      </c>
    </row>
    <row r="11" spans="1:4" x14ac:dyDescent="0.3">
      <c r="A11">
        <v>0</v>
      </c>
      <c r="B11" t="s">
        <v>4</v>
      </c>
      <c r="C11" s="3">
        <v>282.62400000000002</v>
      </c>
      <c r="D11" s="4">
        <v>3.2760479724310902E-7</v>
      </c>
    </row>
    <row r="12" spans="1:4" x14ac:dyDescent="0.3">
      <c r="A12">
        <v>9</v>
      </c>
      <c r="B12" t="s">
        <v>13</v>
      </c>
      <c r="C12" s="3">
        <v>0</v>
      </c>
      <c r="D12" s="4">
        <v>0</v>
      </c>
    </row>
    <row r="13" spans="1:4" x14ac:dyDescent="0.3">
      <c r="A13">
        <v>10</v>
      </c>
      <c r="B13" t="s">
        <v>14</v>
      </c>
      <c r="C13" s="3">
        <v>0</v>
      </c>
      <c r="D13" s="4">
        <v>0</v>
      </c>
    </row>
    <row r="14" spans="1:4" x14ac:dyDescent="0.3">
      <c r="A14">
        <v>12</v>
      </c>
      <c r="B14" t="s">
        <v>16</v>
      </c>
      <c r="C14" s="3">
        <v>0</v>
      </c>
      <c r="D14" s="4">
        <v>0</v>
      </c>
    </row>
    <row r="17" spans="1:4" x14ac:dyDescent="0.3">
      <c r="B17" s="1" t="s">
        <v>11</v>
      </c>
    </row>
    <row r="18" spans="1:4" x14ac:dyDescent="0.3">
      <c r="A18" t="s">
        <v>32</v>
      </c>
      <c r="B18" t="s">
        <v>1</v>
      </c>
      <c r="C18" s="3" t="s">
        <v>2</v>
      </c>
      <c r="D18" s="4" t="s">
        <v>3</v>
      </c>
    </row>
    <row r="19" spans="1:4" x14ac:dyDescent="0.3">
      <c r="A19">
        <v>0</v>
      </c>
      <c r="B19" t="s">
        <v>17</v>
      </c>
      <c r="C19" s="3">
        <v>263630084.19299999</v>
      </c>
      <c r="D19" s="4">
        <v>0.44628255284495699</v>
      </c>
    </row>
    <row r="20" spans="1:4" x14ac:dyDescent="0.3">
      <c r="A20">
        <v>1</v>
      </c>
      <c r="B20" t="s">
        <v>18</v>
      </c>
      <c r="C20" s="3">
        <v>159572126.28799999</v>
      </c>
      <c r="D20" s="4">
        <v>0.27012947365510698</v>
      </c>
    </row>
    <row r="21" spans="1:4" x14ac:dyDescent="0.3">
      <c r="A21">
        <v>13</v>
      </c>
      <c r="B21" t="s">
        <v>30</v>
      </c>
      <c r="C21" s="3">
        <v>42465569.803999998</v>
      </c>
      <c r="D21" s="4">
        <v>7.1887254287225505E-2</v>
      </c>
    </row>
    <row r="22" spans="1:4" x14ac:dyDescent="0.3">
      <c r="A22">
        <v>2</v>
      </c>
      <c r="B22" t="s">
        <v>19</v>
      </c>
      <c r="C22" s="3">
        <v>23763791.473000001</v>
      </c>
      <c r="D22" s="4">
        <v>4.0228206717415498E-2</v>
      </c>
    </row>
    <row r="23" spans="1:4" x14ac:dyDescent="0.3">
      <c r="A23">
        <v>5</v>
      </c>
      <c r="B23" t="s">
        <v>22</v>
      </c>
      <c r="C23" s="3">
        <v>19713318.840999998</v>
      </c>
      <c r="D23" s="4">
        <v>3.3371419974085298E-2</v>
      </c>
    </row>
    <row r="24" spans="1:4" x14ac:dyDescent="0.3">
      <c r="A24">
        <v>9</v>
      </c>
      <c r="B24" t="s">
        <v>26</v>
      </c>
      <c r="C24" s="3">
        <v>19530504.333999999</v>
      </c>
      <c r="D24" s="4">
        <v>3.3061944956729802E-2</v>
      </c>
    </row>
    <row r="25" spans="1:4" x14ac:dyDescent="0.3">
      <c r="A25">
        <v>14</v>
      </c>
      <c r="B25" t="s">
        <v>31</v>
      </c>
      <c r="C25" s="3">
        <v>17173874.93</v>
      </c>
      <c r="D25" s="4">
        <v>2.90725573656055E-2</v>
      </c>
    </row>
    <row r="26" spans="1:4" x14ac:dyDescent="0.3">
      <c r="A26">
        <v>12</v>
      </c>
      <c r="B26" t="s">
        <v>29</v>
      </c>
      <c r="C26" s="3">
        <v>15659173.209000001</v>
      </c>
      <c r="D26" s="4">
        <v>2.6508415443351901E-2</v>
      </c>
    </row>
    <row r="27" spans="1:4" x14ac:dyDescent="0.3">
      <c r="A27">
        <v>10</v>
      </c>
      <c r="B27" t="s">
        <v>27</v>
      </c>
      <c r="C27" s="3">
        <v>10178721.51</v>
      </c>
      <c r="D27" s="4">
        <v>1.7230908354355701E-2</v>
      </c>
    </row>
    <row r="28" spans="1:4" x14ac:dyDescent="0.3">
      <c r="A28">
        <v>3</v>
      </c>
      <c r="B28" t="s">
        <v>20</v>
      </c>
      <c r="C28" s="3">
        <v>9568459.9940000009</v>
      </c>
      <c r="D28" s="4">
        <v>1.6197835561858599E-2</v>
      </c>
    </row>
    <row r="29" spans="1:4" x14ac:dyDescent="0.3">
      <c r="A29">
        <v>8</v>
      </c>
      <c r="B29" t="s">
        <v>25</v>
      </c>
      <c r="C29" s="3">
        <v>3924856.42</v>
      </c>
      <c r="D29" s="4">
        <v>6.6441390709612701E-3</v>
      </c>
    </row>
    <row r="30" spans="1:4" x14ac:dyDescent="0.3">
      <c r="A30">
        <v>7</v>
      </c>
      <c r="B30" t="s">
        <v>24</v>
      </c>
      <c r="C30" s="3">
        <v>3098720.287</v>
      </c>
      <c r="D30" s="4">
        <v>5.2456259097592699E-3</v>
      </c>
    </row>
    <row r="31" spans="1:4" x14ac:dyDescent="0.3">
      <c r="A31">
        <v>11</v>
      </c>
      <c r="B31" t="s">
        <v>28</v>
      </c>
      <c r="C31" s="3">
        <v>2445378.8930000002</v>
      </c>
      <c r="D31" s="4">
        <v>4.1396259398159899E-3</v>
      </c>
    </row>
    <row r="32" spans="1:4" x14ac:dyDescent="0.3">
      <c r="A32">
        <v>6</v>
      </c>
      <c r="B32" t="s">
        <v>23</v>
      </c>
      <c r="C32" s="3">
        <v>23.466000000000001</v>
      </c>
      <c r="D32" s="5">
        <v>3.9724094528578201E-8</v>
      </c>
    </row>
    <row r="33" spans="1:4" x14ac:dyDescent="0.3">
      <c r="A33">
        <v>4</v>
      </c>
      <c r="B33" t="s">
        <v>21</v>
      </c>
      <c r="C33" s="3">
        <v>0.115</v>
      </c>
      <c r="D33" s="5">
        <v>1.94676164271136E-10</v>
      </c>
    </row>
    <row r="36" spans="1:4" x14ac:dyDescent="0.3">
      <c r="B36" s="1" t="s">
        <v>44</v>
      </c>
    </row>
    <row r="37" spans="1:4" x14ac:dyDescent="0.3">
      <c r="A37" t="s">
        <v>32</v>
      </c>
      <c r="B37" t="s">
        <v>1</v>
      </c>
      <c r="C37" s="3" t="s">
        <v>2</v>
      </c>
      <c r="D37" s="4" t="s">
        <v>3</v>
      </c>
    </row>
    <row r="38" spans="1:4" x14ac:dyDescent="0.3">
      <c r="A38">
        <v>3</v>
      </c>
      <c r="B38" t="s">
        <v>36</v>
      </c>
      <c r="C38" s="3">
        <v>22724923.664999999</v>
      </c>
      <c r="D38" s="4">
        <v>0.64005272916244105</v>
      </c>
    </row>
    <row r="39" spans="1:4" x14ac:dyDescent="0.3">
      <c r="A39">
        <v>1</v>
      </c>
      <c r="B39" t="s">
        <v>34</v>
      </c>
      <c r="C39" s="3">
        <v>4864474.0449999999</v>
      </c>
      <c r="D39" s="4">
        <v>0.1370090361728</v>
      </c>
    </row>
    <row r="40" spans="1:4" x14ac:dyDescent="0.3">
      <c r="A40">
        <v>9</v>
      </c>
      <c r="B40" t="s">
        <v>42</v>
      </c>
      <c r="C40" s="3">
        <v>2858227.5410000002</v>
      </c>
      <c r="D40" s="4">
        <v>8.0502639531497999E-2</v>
      </c>
    </row>
    <row r="41" spans="1:4" x14ac:dyDescent="0.3">
      <c r="A41">
        <v>5</v>
      </c>
      <c r="B41" t="s">
        <v>38</v>
      </c>
      <c r="C41" s="3">
        <v>2654453.9339999999</v>
      </c>
      <c r="D41" s="4">
        <v>7.47633087766712E-2</v>
      </c>
    </row>
    <row r="42" spans="1:4" x14ac:dyDescent="0.3">
      <c r="A42">
        <v>7</v>
      </c>
      <c r="B42" t="s">
        <v>40</v>
      </c>
      <c r="C42" s="3">
        <v>2402309.9810000001</v>
      </c>
      <c r="D42" s="4">
        <v>6.7661616043242404E-2</v>
      </c>
    </row>
    <row r="43" spans="1:4" x14ac:dyDescent="0.3">
      <c r="A43">
        <v>6</v>
      </c>
      <c r="B43" t="s">
        <v>39</v>
      </c>
      <c r="C43" s="3">
        <v>112.71299999999999</v>
      </c>
      <c r="D43" s="5">
        <v>3.1745877049169902E-6</v>
      </c>
    </row>
    <row r="44" spans="1:4" x14ac:dyDescent="0.3">
      <c r="A44">
        <v>8</v>
      </c>
      <c r="B44" t="s">
        <v>41</v>
      </c>
      <c r="C44" s="3">
        <v>98.578999999999994</v>
      </c>
      <c r="D44" s="5">
        <v>2.7765003270519998E-6</v>
      </c>
    </row>
    <row r="45" spans="1:4" x14ac:dyDescent="0.3">
      <c r="A45">
        <v>10</v>
      </c>
      <c r="B45" t="s">
        <v>43</v>
      </c>
      <c r="C45" s="3">
        <v>90.834999999999994</v>
      </c>
      <c r="D45" s="5">
        <v>2.5583887765930699E-6</v>
      </c>
    </row>
    <row r="46" spans="1:4" x14ac:dyDescent="0.3">
      <c r="A46">
        <v>4</v>
      </c>
      <c r="B46" t="s">
        <v>37</v>
      </c>
      <c r="C46" s="3">
        <v>75.212000000000003</v>
      </c>
      <c r="D46" s="5">
        <v>2.11836336946241E-6</v>
      </c>
    </row>
    <row r="47" spans="1:4" x14ac:dyDescent="0.3">
      <c r="A47">
        <v>0</v>
      </c>
      <c r="B47" t="s">
        <v>33</v>
      </c>
      <c r="C47" s="3">
        <v>1.369</v>
      </c>
      <c r="D47" s="5">
        <v>3.8558201520954599E-8</v>
      </c>
    </row>
    <row r="48" spans="1:4" x14ac:dyDescent="0.3">
      <c r="A48">
        <v>2</v>
      </c>
      <c r="B48" t="s">
        <v>35</v>
      </c>
      <c r="C48" s="3">
        <v>0.13900000000000001</v>
      </c>
      <c r="D48" s="5">
        <v>3.9149671376279697E-9</v>
      </c>
    </row>
    <row r="51" spans="1:4" x14ac:dyDescent="0.3">
      <c r="B51" s="1" t="s">
        <v>58</v>
      </c>
    </row>
    <row r="52" spans="1:4" x14ac:dyDescent="0.3">
      <c r="A52" t="s">
        <v>32</v>
      </c>
      <c r="B52" t="s">
        <v>1</v>
      </c>
      <c r="C52" s="3" t="s">
        <v>2</v>
      </c>
      <c r="D52" s="4" t="s">
        <v>3</v>
      </c>
    </row>
    <row r="53" spans="1:4" x14ac:dyDescent="0.3">
      <c r="A53">
        <v>4</v>
      </c>
      <c r="B53" s="7" t="s">
        <v>49</v>
      </c>
      <c r="C53" s="8">
        <v>85423123.373999998</v>
      </c>
      <c r="D53" s="9">
        <v>0.611864181043967</v>
      </c>
    </row>
    <row r="54" spans="1:4" x14ac:dyDescent="0.3">
      <c r="A54">
        <v>7</v>
      </c>
      <c r="B54" t="s">
        <v>52</v>
      </c>
      <c r="C54" s="3">
        <v>15240646.926000001</v>
      </c>
      <c r="D54" s="4">
        <v>0.10916489097606</v>
      </c>
    </row>
    <row r="55" spans="1:4" x14ac:dyDescent="0.3">
      <c r="A55">
        <v>10</v>
      </c>
      <c r="B55" t="s">
        <v>55</v>
      </c>
      <c r="C55" s="3">
        <v>14975639.561000001</v>
      </c>
      <c r="D55" s="4">
        <v>0.107266710390384</v>
      </c>
    </row>
    <row r="56" spans="1:4" x14ac:dyDescent="0.3">
      <c r="A56">
        <v>8</v>
      </c>
      <c r="B56" t="s">
        <v>53</v>
      </c>
      <c r="C56" s="3">
        <v>11296966.316</v>
      </c>
      <c r="D56" s="4">
        <v>8.09173063475747E-2</v>
      </c>
    </row>
    <row r="57" spans="1:4" x14ac:dyDescent="0.3">
      <c r="A57">
        <v>5</v>
      </c>
      <c r="B57" t="s">
        <v>50</v>
      </c>
      <c r="C57" s="3">
        <v>10324809.595000001</v>
      </c>
      <c r="D57" s="4">
        <v>7.39539941617538E-2</v>
      </c>
    </row>
    <row r="58" spans="1:4" x14ac:dyDescent="0.3">
      <c r="A58">
        <v>12</v>
      </c>
      <c r="B58" t="s">
        <v>57</v>
      </c>
      <c r="C58" s="3">
        <v>1481575.088</v>
      </c>
      <c r="D58" s="4">
        <v>1.0612146829440099E-2</v>
      </c>
    </row>
    <row r="59" spans="1:4" x14ac:dyDescent="0.3">
      <c r="A59">
        <v>1</v>
      </c>
      <c r="B59" t="s">
        <v>46</v>
      </c>
      <c r="C59" s="3">
        <v>866767.69299999997</v>
      </c>
      <c r="D59" s="4">
        <v>6.2084372905783199E-3</v>
      </c>
    </row>
    <row r="60" spans="1:4" x14ac:dyDescent="0.3">
      <c r="A60">
        <v>0</v>
      </c>
      <c r="B60" t="s">
        <v>45</v>
      </c>
      <c r="C60" s="3">
        <v>1019.447</v>
      </c>
      <c r="D60" s="5">
        <v>7.3020404679160001E-6</v>
      </c>
    </row>
    <row r="61" spans="1:4" x14ac:dyDescent="0.3">
      <c r="A61">
        <v>2</v>
      </c>
      <c r="B61" t="s">
        <v>47</v>
      </c>
      <c r="C61" s="3">
        <v>306.39499999999998</v>
      </c>
      <c r="D61" s="5">
        <v>2.1946297249068601E-6</v>
      </c>
    </row>
    <row r="62" spans="1:4" x14ac:dyDescent="0.3">
      <c r="A62">
        <v>11</v>
      </c>
      <c r="B62" t="s">
        <v>56</v>
      </c>
      <c r="C62" s="3">
        <v>231.125</v>
      </c>
      <c r="D62" s="5">
        <v>1.65548979313989E-6</v>
      </c>
    </row>
    <row r="63" spans="1:4" x14ac:dyDescent="0.3">
      <c r="A63">
        <v>3</v>
      </c>
      <c r="B63" t="s">
        <v>48</v>
      </c>
      <c r="C63" s="3">
        <v>108.03400000000001</v>
      </c>
      <c r="D63" s="5">
        <v>7.7382015927344698E-7</v>
      </c>
    </row>
    <row r="64" spans="1:4" x14ac:dyDescent="0.3">
      <c r="A64">
        <v>6</v>
      </c>
      <c r="B64" t="s">
        <v>51</v>
      </c>
      <c r="C64" s="3">
        <v>56.744999999999997</v>
      </c>
      <c r="D64" s="5">
        <v>4.0645005218701298E-7</v>
      </c>
    </row>
    <row r="65" spans="1:4" x14ac:dyDescent="0.3">
      <c r="A65">
        <v>9</v>
      </c>
      <c r="B65" t="s">
        <v>54</v>
      </c>
      <c r="C65" s="3">
        <v>7.3999999999999996E-2</v>
      </c>
      <c r="D65" s="5">
        <v>5.3004324366620698E-10</v>
      </c>
    </row>
    <row r="69" spans="1:4" x14ac:dyDescent="0.3">
      <c r="A69" t="s">
        <v>32</v>
      </c>
      <c r="B69" t="s">
        <v>1</v>
      </c>
      <c r="C69" s="3" t="s">
        <v>2</v>
      </c>
      <c r="D69" s="4" t="s">
        <v>3</v>
      </c>
    </row>
    <row r="70" spans="1:4" x14ac:dyDescent="0.3">
      <c r="B70" t="s">
        <v>59</v>
      </c>
      <c r="C70" s="3" t="s">
        <v>65</v>
      </c>
    </row>
    <row r="71" spans="1:4" x14ac:dyDescent="0.3">
      <c r="B71" t="s">
        <v>60</v>
      </c>
    </row>
    <row r="72" spans="1:4" x14ac:dyDescent="0.3">
      <c r="B72" t="s">
        <v>61</v>
      </c>
    </row>
    <row r="73" spans="1:4" x14ac:dyDescent="0.3">
      <c r="B73" t="s">
        <v>62</v>
      </c>
    </row>
    <row r="74" spans="1:4" x14ac:dyDescent="0.3">
      <c r="B74" t="s">
        <v>63</v>
      </c>
      <c r="D74" s="5"/>
    </row>
    <row r="75" spans="1:4" x14ac:dyDescent="0.3">
      <c r="B75" t="s">
        <v>64</v>
      </c>
      <c r="D75" s="5"/>
    </row>
    <row r="76" spans="1:4" x14ac:dyDescent="0.3">
      <c r="D76" s="5"/>
    </row>
    <row r="77" spans="1:4" x14ac:dyDescent="0.3">
      <c r="D77" s="5"/>
    </row>
    <row r="78" spans="1:4" x14ac:dyDescent="0.3">
      <c r="D78" s="5"/>
    </row>
    <row r="79" spans="1:4" x14ac:dyDescent="0.3">
      <c r="D79" s="5"/>
    </row>
    <row r="80" spans="1:4" x14ac:dyDescent="0.3">
      <c r="D80" s="5"/>
    </row>
    <row r="81" spans="4:4" x14ac:dyDescent="0.3">
      <c r="D81" s="5"/>
    </row>
    <row r="82" spans="4:4" x14ac:dyDescent="0.3">
      <c r="D82" s="5"/>
    </row>
    <row r="83" spans="4:4" x14ac:dyDescent="0.3">
      <c r="D83" s="5"/>
    </row>
    <row r="84" spans="4:4" x14ac:dyDescent="0.3">
      <c r="D84" s="5"/>
    </row>
    <row r="85" spans="4:4" x14ac:dyDescent="0.3">
      <c r="D85" s="5"/>
    </row>
    <row r="86" spans="4:4" x14ac:dyDescent="0.3">
      <c r="D86" s="5"/>
    </row>
  </sheetData>
  <hyperlinks>
    <hyperlink ref="B2" location="Sheet1!B17" display="D_Video" xr:uid="{7C634C13-8A1B-4C9F-8EA2-F1158EB62459}"/>
  </hyperlinks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2858E-D87F-4AB9-9AF4-A0864888DE04}">
  <dimension ref="A7:D49"/>
  <sheetViews>
    <sheetView topLeftCell="A16" workbookViewId="0">
      <selection activeCell="B7" sqref="B7:C7"/>
    </sheetView>
  </sheetViews>
  <sheetFormatPr defaultRowHeight="14.4" x14ac:dyDescent="0.3"/>
  <cols>
    <col min="1" max="1" width="26.5546875" customWidth="1"/>
    <col min="2" max="2" width="14.5546875" customWidth="1"/>
    <col min="3" max="3" width="17" customWidth="1"/>
    <col min="4" max="4" width="16.33203125" customWidth="1"/>
  </cols>
  <sheetData>
    <row r="7" spans="1:3" x14ac:dyDescent="0.3">
      <c r="A7" t="s">
        <v>193</v>
      </c>
      <c r="B7" t="s">
        <v>191</v>
      </c>
      <c r="C7" t="s">
        <v>192</v>
      </c>
    </row>
    <row r="8" spans="1:3" x14ac:dyDescent="0.3">
      <c r="A8" t="s">
        <v>187</v>
      </c>
      <c r="B8" s="33">
        <v>833910042.60300004</v>
      </c>
      <c r="C8" s="20">
        <f>B8</f>
        <v>833910042.60300004</v>
      </c>
    </row>
    <row r="9" spans="1:3" x14ac:dyDescent="0.3">
      <c r="A9" t="s">
        <v>59</v>
      </c>
      <c r="B9" s="33">
        <v>530210042</v>
      </c>
      <c r="C9" s="20">
        <f t="shared" ref="C9:C17" si="0">B9</f>
        <v>530210042</v>
      </c>
    </row>
    <row r="10" spans="1:3" x14ac:dyDescent="0.3">
      <c r="A10" t="s">
        <v>61</v>
      </c>
      <c r="B10" s="33">
        <v>405241929.72799999</v>
      </c>
      <c r="C10" s="20">
        <f t="shared" si="0"/>
        <v>405241929.72799999</v>
      </c>
    </row>
    <row r="11" spans="1:3" x14ac:dyDescent="0.3">
      <c r="A11" t="s">
        <v>186</v>
      </c>
      <c r="B11" s="33">
        <v>152543395.31</v>
      </c>
      <c r="C11" s="20">
        <f t="shared" si="0"/>
        <v>152543395.31</v>
      </c>
    </row>
    <row r="12" spans="1:3" x14ac:dyDescent="0.3">
      <c r="A12" t="s">
        <v>60</v>
      </c>
      <c r="B12" s="33">
        <v>124680947.522</v>
      </c>
      <c r="C12" s="20">
        <f t="shared" si="0"/>
        <v>124680947.522</v>
      </c>
    </row>
    <row r="13" spans="1:3" x14ac:dyDescent="0.3">
      <c r="A13" t="s">
        <v>190</v>
      </c>
      <c r="B13" s="33">
        <v>9776793.4910000004</v>
      </c>
      <c r="C13" s="20">
        <f t="shared" si="0"/>
        <v>9776793.4910000004</v>
      </c>
    </row>
    <row r="14" spans="1:3" x14ac:dyDescent="0.3">
      <c r="A14" t="s">
        <v>184</v>
      </c>
      <c r="B14" s="33">
        <v>1438160.311</v>
      </c>
      <c r="C14" s="20">
        <f t="shared" si="0"/>
        <v>1438160.311</v>
      </c>
    </row>
    <row r="15" spans="1:3" x14ac:dyDescent="0.3">
      <c r="A15" t="s">
        <v>188</v>
      </c>
      <c r="B15" s="33">
        <v>648777.11100000003</v>
      </c>
      <c r="C15" s="20">
        <f t="shared" si="0"/>
        <v>648777.11100000003</v>
      </c>
    </row>
    <row r="16" spans="1:3" x14ac:dyDescent="0.3">
      <c r="A16" t="s">
        <v>185</v>
      </c>
      <c r="B16" s="33">
        <v>48495.851999999999</v>
      </c>
      <c r="C16" s="20">
        <f t="shared" si="0"/>
        <v>48495.851999999999</v>
      </c>
    </row>
    <row r="17" spans="1:4" x14ac:dyDescent="0.3">
      <c r="A17" t="s">
        <v>189</v>
      </c>
      <c r="B17" s="33">
        <v>2820.2150000000001</v>
      </c>
      <c r="C17" s="20">
        <f t="shared" si="0"/>
        <v>2820.2150000000001</v>
      </c>
    </row>
    <row r="31" spans="1:4" x14ac:dyDescent="0.3">
      <c r="A31" t="s">
        <v>59</v>
      </c>
      <c r="B31" t="s">
        <v>191</v>
      </c>
      <c r="C31" t="s">
        <v>192</v>
      </c>
      <c r="D31" t="s">
        <v>196</v>
      </c>
    </row>
    <row r="32" spans="1:4" x14ac:dyDescent="0.3">
      <c r="A32" t="s">
        <v>194</v>
      </c>
      <c r="B32" s="33">
        <v>339900000</v>
      </c>
      <c r="C32" s="34">
        <f>B32</f>
        <v>339900000</v>
      </c>
      <c r="D32" t="s">
        <v>197</v>
      </c>
    </row>
    <row r="33" spans="1:4" x14ac:dyDescent="0.3">
      <c r="A33" t="s">
        <v>195</v>
      </c>
      <c r="B33" s="33">
        <v>154700000</v>
      </c>
      <c r="C33" s="34">
        <f>B33</f>
        <v>154700000</v>
      </c>
      <c r="D33" t="s">
        <v>197</v>
      </c>
    </row>
    <row r="38" spans="1:4" x14ac:dyDescent="0.3">
      <c r="A38" s="1" t="s">
        <v>206</v>
      </c>
    </row>
    <row r="39" spans="1:4" x14ac:dyDescent="0.3">
      <c r="A39" t="s">
        <v>1</v>
      </c>
      <c r="B39" t="s">
        <v>175</v>
      </c>
      <c r="C39" t="s">
        <v>192</v>
      </c>
    </row>
    <row r="40" spans="1:4" x14ac:dyDescent="0.3">
      <c r="A40" s="7" t="s">
        <v>202</v>
      </c>
      <c r="B40" s="35">
        <v>392243621.86299998</v>
      </c>
      <c r="C40" s="36">
        <f t="shared" ref="C40:C49" si="1">B40</f>
        <v>392243621.86299998</v>
      </c>
    </row>
    <row r="41" spans="1:4" x14ac:dyDescent="0.3">
      <c r="A41" t="s">
        <v>198</v>
      </c>
      <c r="B41" s="33">
        <v>316965015.16900098</v>
      </c>
      <c r="C41" s="20">
        <f t="shared" si="1"/>
        <v>316965015.16900098</v>
      </c>
    </row>
    <row r="42" spans="1:4" x14ac:dyDescent="0.3">
      <c r="A42" t="s">
        <v>200</v>
      </c>
      <c r="B42" s="33">
        <v>273470926.11399901</v>
      </c>
      <c r="C42" s="20">
        <f t="shared" si="1"/>
        <v>273470926.11399901</v>
      </c>
    </row>
    <row r="43" spans="1:4" x14ac:dyDescent="0.3">
      <c r="A43" t="s">
        <v>84</v>
      </c>
      <c r="B43" s="33">
        <v>101095935.710999</v>
      </c>
      <c r="C43" s="20">
        <f t="shared" si="1"/>
        <v>101095935.710999</v>
      </c>
    </row>
    <row r="44" spans="1:4" x14ac:dyDescent="0.3">
      <c r="A44" t="s">
        <v>204</v>
      </c>
      <c r="B44" s="33">
        <v>96195015.392999902</v>
      </c>
      <c r="C44" s="20">
        <f t="shared" si="1"/>
        <v>96195015.392999902</v>
      </c>
    </row>
    <row r="45" spans="1:4" x14ac:dyDescent="0.3">
      <c r="A45" t="s">
        <v>205</v>
      </c>
      <c r="B45" s="33">
        <v>81370717.905000001</v>
      </c>
      <c r="C45" s="20">
        <f t="shared" si="1"/>
        <v>81370717.905000001</v>
      </c>
    </row>
    <row r="46" spans="1:4" x14ac:dyDescent="0.3">
      <c r="A46" t="s">
        <v>201</v>
      </c>
      <c r="B46" s="33">
        <v>65581463.005999997</v>
      </c>
      <c r="C46" s="20">
        <f t="shared" si="1"/>
        <v>65581463.005999997</v>
      </c>
    </row>
    <row r="47" spans="1:4" x14ac:dyDescent="0.3">
      <c r="A47" t="s">
        <v>199</v>
      </c>
      <c r="B47" s="33">
        <v>30801753.925999999</v>
      </c>
      <c r="C47" s="20">
        <f t="shared" si="1"/>
        <v>30801753.925999999</v>
      </c>
    </row>
    <row r="48" spans="1:4" x14ac:dyDescent="0.3">
      <c r="A48" t="s">
        <v>28</v>
      </c>
      <c r="B48" s="33">
        <v>238747.946</v>
      </c>
      <c r="C48" s="20">
        <f t="shared" si="1"/>
        <v>238747.946</v>
      </c>
    </row>
    <row r="49" spans="1:3" x14ac:dyDescent="0.3">
      <c r="A49" t="s">
        <v>203</v>
      </c>
      <c r="B49" s="33">
        <v>0</v>
      </c>
      <c r="C49" s="20">
        <f t="shared" si="1"/>
        <v>0</v>
      </c>
    </row>
  </sheetData>
  <autoFilter ref="A39:C49" xr:uid="{0C92858E-D87F-4AB9-9AF4-A0864888DE04}">
    <sortState xmlns:xlrd2="http://schemas.microsoft.com/office/spreadsheetml/2017/richdata2" ref="A40:C49">
      <sortCondition descending="1" ref="C39:C49"/>
    </sortState>
  </autoFilter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C111D-32CC-4817-94D6-9270E7EAA28D}">
  <dimension ref="A5:J69"/>
  <sheetViews>
    <sheetView tabSelected="1" topLeftCell="A4" workbookViewId="0">
      <selection activeCell="F18" sqref="F18"/>
    </sheetView>
  </sheetViews>
  <sheetFormatPr defaultRowHeight="14.4" x14ac:dyDescent="0.3"/>
  <cols>
    <col min="1" max="1" width="15.5546875" customWidth="1"/>
    <col min="2" max="2" width="38.33203125" customWidth="1"/>
    <col min="3" max="3" width="16.109375" bestFit="1" customWidth="1"/>
    <col min="4" max="4" width="19.77734375" customWidth="1"/>
    <col min="5" max="5" width="20.33203125" customWidth="1"/>
    <col min="6" max="6" width="27.6640625" customWidth="1"/>
    <col min="8" max="8" width="19" customWidth="1"/>
    <col min="9" max="9" width="20.88671875" customWidth="1"/>
    <col min="10" max="10" width="15.77734375" customWidth="1"/>
  </cols>
  <sheetData>
    <row r="5" spans="1:10" x14ac:dyDescent="0.3">
      <c r="B5" t="s">
        <v>1</v>
      </c>
      <c r="C5" t="s">
        <v>191</v>
      </c>
      <c r="D5" t="s">
        <v>192</v>
      </c>
      <c r="H5" s="1" t="s">
        <v>215</v>
      </c>
      <c r="I5" t="s">
        <v>191</v>
      </c>
      <c r="J5" t="s">
        <v>192</v>
      </c>
    </row>
    <row r="6" spans="1:10" x14ac:dyDescent="0.3">
      <c r="A6">
        <v>32</v>
      </c>
      <c r="B6" s="7" t="s">
        <v>59</v>
      </c>
      <c r="C6" s="37">
        <v>1052938964.82599</v>
      </c>
      <c r="D6" s="36">
        <v>1052938964.82599</v>
      </c>
      <c r="H6" t="s">
        <v>59</v>
      </c>
      <c r="I6" s="30">
        <f>537.7*10^6</f>
        <v>537700000</v>
      </c>
      <c r="J6" s="20">
        <f>I6</f>
        <v>537700000</v>
      </c>
    </row>
    <row r="7" spans="1:10" x14ac:dyDescent="0.3">
      <c r="A7">
        <v>10</v>
      </c>
      <c r="B7" t="s">
        <v>187</v>
      </c>
      <c r="C7" s="30">
        <v>792944941.99396205</v>
      </c>
      <c r="D7" s="20">
        <v>792944941.99396205</v>
      </c>
      <c r="H7" t="s">
        <v>187</v>
      </c>
      <c r="I7" s="30">
        <f>508.4*10^6</f>
        <v>508400000</v>
      </c>
      <c r="J7" s="20">
        <f t="shared" ref="J7:J11" si="0">I7</f>
        <v>508400000</v>
      </c>
    </row>
    <row r="8" spans="1:10" x14ac:dyDescent="0.3">
      <c r="A8">
        <v>11</v>
      </c>
      <c r="B8" t="s">
        <v>61</v>
      </c>
      <c r="C8" s="30">
        <v>467869992.79000902</v>
      </c>
      <c r="D8" s="20">
        <v>467869992.79000902</v>
      </c>
      <c r="H8" t="s">
        <v>61</v>
      </c>
      <c r="I8" s="30">
        <f>436.2*10^6</f>
        <v>436200000</v>
      </c>
      <c r="J8" s="20">
        <f t="shared" si="0"/>
        <v>436200000</v>
      </c>
    </row>
    <row r="9" spans="1:10" x14ac:dyDescent="0.3">
      <c r="A9">
        <v>15</v>
      </c>
      <c r="B9" t="s">
        <v>186</v>
      </c>
      <c r="C9" s="30">
        <v>365190252.51100099</v>
      </c>
      <c r="D9" s="20">
        <v>365190252.51100099</v>
      </c>
      <c r="H9" t="s">
        <v>186</v>
      </c>
      <c r="I9" s="30">
        <f>341.1*10^6</f>
        <v>341100000</v>
      </c>
      <c r="J9" s="20">
        <f t="shared" si="0"/>
        <v>341100000</v>
      </c>
    </row>
    <row r="10" spans="1:10" x14ac:dyDescent="0.3">
      <c r="A10">
        <v>1</v>
      </c>
      <c r="B10" t="s">
        <v>208</v>
      </c>
      <c r="C10" s="30">
        <v>134998956.77099901</v>
      </c>
      <c r="D10" s="20">
        <v>134998956.77099901</v>
      </c>
      <c r="H10" t="s">
        <v>60</v>
      </c>
      <c r="I10" s="30">
        <f>116.5*10^6</f>
        <v>116500000</v>
      </c>
      <c r="J10" s="20">
        <f t="shared" si="0"/>
        <v>116500000</v>
      </c>
    </row>
    <row r="11" spans="1:10" x14ac:dyDescent="0.3">
      <c r="A11">
        <v>6</v>
      </c>
      <c r="B11" t="s">
        <v>60</v>
      </c>
      <c r="C11" s="30">
        <v>130472867.787999</v>
      </c>
      <c r="D11" s="20">
        <v>130472867.787999</v>
      </c>
      <c r="H11" t="s">
        <v>208</v>
      </c>
      <c r="I11" s="30">
        <f>56.2*10^6</f>
        <v>56200000</v>
      </c>
      <c r="J11" s="20">
        <f t="shared" si="0"/>
        <v>56200000</v>
      </c>
    </row>
    <row r="12" spans="1:10" x14ac:dyDescent="0.3">
      <c r="A12">
        <v>19</v>
      </c>
      <c r="B12" t="s">
        <v>211</v>
      </c>
      <c r="C12" s="30">
        <v>54873611.671000101</v>
      </c>
      <c r="D12" s="20">
        <v>54873611.671000101</v>
      </c>
    </row>
    <row r="13" spans="1:10" x14ac:dyDescent="0.3">
      <c r="A13">
        <v>34</v>
      </c>
      <c r="B13" t="s">
        <v>64</v>
      </c>
      <c r="C13" s="30">
        <v>43605766.997997597</v>
      </c>
      <c r="D13" s="20">
        <v>43605766.997997597</v>
      </c>
    </row>
    <row r="14" spans="1:10" x14ac:dyDescent="0.3">
      <c r="A14">
        <v>26</v>
      </c>
      <c r="B14" t="s">
        <v>213</v>
      </c>
      <c r="C14" s="30">
        <v>28101805.3879999</v>
      </c>
      <c r="D14" s="20">
        <v>28101805.3879999</v>
      </c>
    </row>
    <row r="15" spans="1:10" x14ac:dyDescent="0.3">
      <c r="A15">
        <v>18</v>
      </c>
      <c r="B15" t="s">
        <v>210</v>
      </c>
      <c r="C15" s="30">
        <v>20588331.008000001</v>
      </c>
      <c r="D15" s="20">
        <v>20588331.008000001</v>
      </c>
    </row>
    <row r="16" spans="1:10" x14ac:dyDescent="0.3">
      <c r="A16">
        <v>27</v>
      </c>
      <c r="B16" t="s">
        <v>62</v>
      </c>
      <c r="C16" s="30">
        <v>12353046.625000101</v>
      </c>
      <c r="D16" s="20">
        <v>12353046.625000101</v>
      </c>
    </row>
    <row r="17" spans="1:4" x14ac:dyDescent="0.3">
      <c r="A17">
        <v>7</v>
      </c>
      <c r="B17" t="s">
        <v>190</v>
      </c>
      <c r="C17" s="30">
        <v>9780298.2880003992</v>
      </c>
      <c r="D17" s="20">
        <v>9780298.2880003992</v>
      </c>
    </row>
    <row r="18" spans="1:4" x14ac:dyDescent="0.3">
      <c r="A18">
        <v>28</v>
      </c>
      <c r="B18" t="s">
        <v>214</v>
      </c>
      <c r="C18" s="30">
        <v>6077051.7859999901</v>
      </c>
      <c r="D18" s="20">
        <v>6077051.7859999901</v>
      </c>
    </row>
    <row r="19" spans="1:4" x14ac:dyDescent="0.3">
      <c r="A19">
        <v>16</v>
      </c>
      <c r="B19" t="s">
        <v>209</v>
      </c>
      <c r="C19" s="30">
        <v>5304829.0039999997</v>
      </c>
      <c r="D19" s="20">
        <v>5304829.0039999997</v>
      </c>
    </row>
    <row r="20" spans="1:4" x14ac:dyDescent="0.3">
      <c r="A20">
        <v>24</v>
      </c>
      <c r="B20" t="s">
        <v>212</v>
      </c>
      <c r="C20" s="30">
        <v>3221225.4720000001</v>
      </c>
      <c r="D20" s="20">
        <v>3221225.4720000001</v>
      </c>
    </row>
    <row r="21" spans="1:4" x14ac:dyDescent="0.3">
      <c r="A21">
        <v>4</v>
      </c>
      <c r="B21" t="s">
        <v>184</v>
      </c>
      <c r="C21" s="30">
        <v>1438160.311</v>
      </c>
      <c r="D21" s="20">
        <v>1438160.311</v>
      </c>
    </row>
    <row r="22" spans="1:4" x14ac:dyDescent="0.3">
      <c r="A22">
        <v>9</v>
      </c>
      <c r="B22" t="s">
        <v>188</v>
      </c>
      <c r="C22" s="30">
        <v>648777.11099999899</v>
      </c>
      <c r="D22" s="20">
        <v>648777.11099999899</v>
      </c>
    </row>
    <row r="23" spans="1:4" x14ac:dyDescent="0.3">
      <c r="A23">
        <v>5</v>
      </c>
      <c r="B23" t="s">
        <v>185</v>
      </c>
      <c r="C23" s="30">
        <v>48495.851999999999</v>
      </c>
      <c r="D23" s="20">
        <v>48495.851999999999</v>
      </c>
    </row>
    <row r="24" spans="1:4" x14ac:dyDescent="0.3">
      <c r="D24" s="20">
        <f>SUM(D6:D23)</f>
        <v>3130457376.1939588</v>
      </c>
    </row>
    <row r="31" spans="1:4" x14ac:dyDescent="0.3">
      <c r="D31" s="20">
        <f>SUM(D33:D42)</f>
        <v>1393666657.8019984</v>
      </c>
    </row>
    <row r="32" spans="1:4" x14ac:dyDescent="0.3">
      <c r="B32" t="s">
        <v>1</v>
      </c>
      <c r="C32" t="s">
        <v>191</v>
      </c>
      <c r="D32" t="s">
        <v>192</v>
      </c>
    </row>
    <row r="33" spans="1:6" x14ac:dyDescent="0.3">
      <c r="A33" s="7">
        <v>6</v>
      </c>
      <c r="B33" s="7" t="s">
        <v>202</v>
      </c>
      <c r="C33" s="37">
        <v>476442075.93099999</v>
      </c>
      <c r="D33" s="36">
        <v>476442075.93099999</v>
      </c>
    </row>
    <row r="34" spans="1:6" x14ac:dyDescent="0.3">
      <c r="A34" s="7">
        <v>5</v>
      </c>
      <c r="B34" s="7" t="s">
        <v>201</v>
      </c>
      <c r="C34" s="37">
        <v>405306429.96699899</v>
      </c>
      <c r="D34" s="36">
        <v>405306429.96699899</v>
      </c>
    </row>
    <row r="35" spans="1:6" x14ac:dyDescent="0.3">
      <c r="A35" s="7">
        <v>3</v>
      </c>
      <c r="B35" s="7" t="s">
        <v>200</v>
      </c>
      <c r="C35" s="37">
        <v>273470926.11399901</v>
      </c>
      <c r="D35" s="36">
        <v>273470926.11399901</v>
      </c>
    </row>
    <row r="36" spans="1:6" x14ac:dyDescent="0.3">
      <c r="A36">
        <v>8</v>
      </c>
      <c r="B36" t="s">
        <v>204</v>
      </c>
      <c r="C36" s="30">
        <v>96195015.392999902</v>
      </c>
      <c r="D36" s="20">
        <v>96195015.392999902</v>
      </c>
    </row>
    <row r="37" spans="1:6" x14ac:dyDescent="0.3">
      <c r="A37">
        <v>9</v>
      </c>
      <c r="B37" t="s">
        <v>205</v>
      </c>
      <c r="C37" s="30">
        <v>81370717.905000001</v>
      </c>
      <c r="D37" s="20">
        <v>81370717.905000001</v>
      </c>
    </row>
    <row r="38" spans="1:6" x14ac:dyDescent="0.3">
      <c r="A38">
        <v>1</v>
      </c>
      <c r="B38" t="s">
        <v>199</v>
      </c>
      <c r="C38" s="30">
        <v>30801753.925999999</v>
      </c>
      <c r="D38" s="20">
        <v>30801753.925999999</v>
      </c>
    </row>
    <row r="39" spans="1:6" x14ac:dyDescent="0.3">
      <c r="A39">
        <v>0</v>
      </c>
      <c r="B39" t="s">
        <v>84</v>
      </c>
      <c r="C39" s="30">
        <v>20272593.811999999</v>
      </c>
      <c r="D39" s="20">
        <v>20272593.811999999</v>
      </c>
    </row>
    <row r="40" spans="1:6" x14ac:dyDescent="0.3">
      <c r="A40">
        <v>4</v>
      </c>
      <c r="B40" t="s">
        <v>20</v>
      </c>
      <c r="C40" s="30">
        <v>9568396.8080000002</v>
      </c>
      <c r="D40" s="20">
        <v>9568396.8080000002</v>
      </c>
      <c r="E40" t="s">
        <v>233</v>
      </c>
    </row>
    <row r="41" spans="1:6" x14ac:dyDescent="0.3">
      <c r="A41">
        <v>2</v>
      </c>
      <c r="B41" t="s">
        <v>28</v>
      </c>
      <c r="C41" s="30">
        <v>238747.946</v>
      </c>
      <c r="D41" s="20">
        <v>238747.946</v>
      </c>
    </row>
    <row r="42" spans="1:6" x14ac:dyDescent="0.3">
      <c r="A42">
        <v>7</v>
      </c>
      <c r="B42" t="s">
        <v>203</v>
      </c>
      <c r="C42" s="30">
        <v>0</v>
      </c>
      <c r="D42" s="20">
        <v>0</v>
      </c>
    </row>
    <row r="48" spans="1:6" x14ac:dyDescent="0.3">
      <c r="A48" t="s">
        <v>32</v>
      </c>
      <c r="B48" t="s">
        <v>1</v>
      </c>
      <c r="C48" t="s">
        <v>191</v>
      </c>
      <c r="D48" t="s">
        <v>192</v>
      </c>
      <c r="E48" t="s">
        <v>219</v>
      </c>
      <c r="F48" t="s">
        <v>231</v>
      </c>
    </row>
    <row r="49" spans="1:9" x14ac:dyDescent="0.3">
      <c r="A49">
        <v>1</v>
      </c>
      <c r="B49" t="s">
        <v>207</v>
      </c>
      <c r="C49" s="30">
        <v>289729328.70899999</v>
      </c>
      <c r="D49" s="20">
        <v>289729328.70899999</v>
      </c>
      <c r="E49" t="s">
        <v>202</v>
      </c>
      <c r="F49" t="s">
        <v>232</v>
      </c>
      <c r="H49" t="s">
        <v>207</v>
      </c>
      <c r="I49" s="20">
        <v>289729328.70899999</v>
      </c>
    </row>
    <row r="50" spans="1:9" x14ac:dyDescent="0.3">
      <c r="A50">
        <v>8</v>
      </c>
      <c r="B50" s="7" t="s">
        <v>223</v>
      </c>
      <c r="C50" s="37">
        <v>252466243.17599899</v>
      </c>
      <c r="D50" s="36">
        <v>252466243.17599899</v>
      </c>
      <c r="E50" t="s">
        <v>200</v>
      </c>
      <c r="F50" t="s">
        <v>233</v>
      </c>
      <c r="H50" t="s">
        <v>221</v>
      </c>
      <c r="I50" s="20">
        <v>230827071.37900001</v>
      </c>
    </row>
    <row r="51" spans="1:9" x14ac:dyDescent="0.3">
      <c r="A51">
        <v>6</v>
      </c>
      <c r="B51" t="s">
        <v>221</v>
      </c>
      <c r="C51" s="30">
        <v>230827071.37900001</v>
      </c>
      <c r="D51" s="20">
        <v>230827071.37900001</v>
      </c>
      <c r="E51" t="s">
        <v>201</v>
      </c>
      <c r="F51" t="s">
        <v>232</v>
      </c>
      <c r="H51" t="s">
        <v>222</v>
      </c>
      <c r="I51" s="20">
        <v>108897895.581999</v>
      </c>
    </row>
    <row r="52" spans="1:9" ht="15" thickBot="1" x14ac:dyDescent="0.35">
      <c r="A52">
        <v>2</v>
      </c>
      <c r="B52" s="7" t="s">
        <v>217</v>
      </c>
      <c r="C52" s="37">
        <v>143903255.07100001</v>
      </c>
      <c r="D52" s="36">
        <v>143903255.07100001</v>
      </c>
      <c r="E52" t="s">
        <v>202</v>
      </c>
      <c r="F52" t="s">
        <v>233</v>
      </c>
      <c r="I52" s="26">
        <f>SUM(I49:I51)</f>
        <v>629454295.669999</v>
      </c>
    </row>
    <row r="53" spans="1:9" ht="15" thickTop="1" x14ac:dyDescent="0.3">
      <c r="A53">
        <v>7</v>
      </c>
      <c r="B53" t="s">
        <v>222</v>
      </c>
      <c r="C53" s="30">
        <v>108897895.581999</v>
      </c>
      <c r="D53" s="20">
        <v>108897895.581999</v>
      </c>
      <c r="E53" t="s">
        <v>201</v>
      </c>
      <c r="F53" t="s">
        <v>232</v>
      </c>
    </row>
    <row r="54" spans="1:9" x14ac:dyDescent="0.3">
      <c r="A54">
        <v>5</v>
      </c>
      <c r="B54" t="s">
        <v>220</v>
      </c>
      <c r="C54" s="30">
        <v>65581463.005999997</v>
      </c>
      <c r="D54" s="20">
        <v>65581463.005999997</v>
      </c>
      <c r="E54" t="s">
        <v>201</v>
      </c>
    </row>
    <row r="55" spans="1:9" x14ac:dyDescent="0.3">
      <c r="A55">
        <v>11</v>
      </c>
      <c r="B55" s="30" t="s">
        <v>226</v>
      </c>
      <c r="C55" s="30">
        <v>49684585.156000003</v>
      </c>
      <c r="D55" s="20">
        <v>49684585.156000003</v>
      </c>
      <c r="E55" t="s">
        <v>204</v>
      </c>
    </row>
    <row r="56" spans="1:9" x14ac:dyDescent="0.3">
      <c r="A56">
        <v>3</v>
      </c>
      <c r="B56" t="s">
        <v>218</v>
      </c>
      <c r="C56" s="30">
        <v>22321424.783</v>
      </c>
      <c r="D56" s="20">
        <v>22321424.783</v>
      </c>
      <c r="E56" t="s">
        <v>202</v>
      </c>
    </row>
    <row r="57" spans="1:9" x14ac:dyDescent="0.3">
      <c r="A57">
        <v>10</v>
      </c>
      <c r="B57" s="30" t="s">
        <v>225</v>
      </c>
      <c r="C57" s="30">
        <v>21167807.453000002</v>
      </c>
      <c r="D57" s="20">
        <v>21167807.453000002</v>
      </c>
      <c r="E57" t="s">
        <v>204</v>
      </c>
    </row>
    <row r="58" spans="1:9" x14ac:dyDescent="0.3">
      <c r="A58">
        <v>9</v>
      </c>
      <c r="B58" t="s">
        <v>224</v>
      </c>
      <c r="C58" s="30">
        <v>21004682.9379999</v>
      </c>
      <c r="D58" s="20">
        <v>21004682.9379999</v>
      </c>
      <c r="E58" t="s">
        <v>200</v>
      </c>
    </row>
    <row r="59" spans="1:9" x14ac:dyDescent="0.3">
      <c r="A59">
        <v>4</v>
      </c>
      <c r="B59" t="s">
        <v>216</v>
      </c>
      <c r="C59" s="30">
        <v>20488067.368000001</v>
      </c>
      <c r="D59" s="20">
        <v>20488067.368000001</v>
      </c>
      <c r="E59" t="s">
        <v>202</v>
      </c>
    </row>
    <row r="60" spans="1:9" x14ac:dyDescent="0.3">
      <c r="A60">
        <v>16</v>
      </c>
      <c r="B60" t="s">
        <v>230</v>
      </c>
      <c r="C60" s="30">
        <v>9205534.0649999995</v>
      </c>
      <c r="D60" s="20">
        <v>9205534.0649999995</v>
      </c>
      <c r="E60" t="s">
        <v>204</v>
      </c>
      <c r="F60" t="s">
        <v>233</v>
      </c>
    </row>
    <row r="61" spans="1:9" x14ac:dyDescent="0.3">
      <c r="A61">
        <v>13</v>
      </c>
      <c r="B61" s="30" t="s">
        <v>228</v>
      </c>
      <c r="C61" s="30">
        <v>6408633.2010000004</v>
      </c>
      <c r="D61" s="20">
        <v>6408633.2010000004</v>
      </c>
      <c r="E61" t="s">
        <v>204</v>
      </c>
      <c r="F61" t="s">
        <v>233</v>
      </c>
    </row>
    <row r="62" spans="1:9" x14ac:dyDescent="0.3">
      <c r="A62">
        <v>14</v>
      </c>
      <c r="B62" s="30" t="s">
        <v>34</v>
      </c>
      <c r="C62" s="30">
        <v>4864474.0449999999</v>
      </c>
      <c r="D62" s="20">
        <v>4864474.0449999999</v>
      </c>
      <c r="E62" t="s">
        <v>204</v>
      </c>
      <c r="F62" t="s">
        <v>233</v>
      </c>
    </row>
    <row r="63" spans="1:9" x14ac:dyDescent="0.3">
      <c r="A63">
        <v>15</v>
      </c>
      <c r="B63" t="s">
        <v>229</v>
      </c>
      <c r="C63" s="30">
        <v>3784603.2919999999</v>
      </c>
      <c r="D63" s="20">
        <v>3784603.2919999999</v>
      </c>
      <c r="E63" t="s">
        <v>204</v>
      </c>
      <c r="F63" t="s">
        <v>233</v>
      </c>
    </row>
    <row r="64" spans="1:9" x14ac:dyDescent="0.3">
      <c r="A64">
        <v>12</v>
      </c>
      <c r="B64" s="30" t="s">
        <v>227</v>
      </c>
      <c r="C64" s="30">
        <v>1079288.7439999999</v>
      </c>
      <c r="D64" s="20">
        <v>1079288.7439999999</v>
      </c>
      <c r="E64" t="s">
        <v>204</v>
      </c>
      <c r="F64" t="s">
        <v>233</v>
      </c>
    </row>
    <row r="68" spans="1:5" x14ac:dyDescent="0.3">
      <c r="D68" s="38" t="s">
        <v>234</v>
      </c>
      <c r="E68" s="39">
        <f>_xlfn.XLOOKUP("Detective Conan",B49:B64,D49:D64) + _xlfn.XLOOKUP("House of Dragon",B49:B64,D49:D64)</f>
        <v>396369498.24699903</v>
      </c>
    </row>
    <row r="69" spans="1:5" x14ac:dyDescent="0.3">
      <c r="A69" t="s">
        <v>235</v>
      </c>
    </row>
  </sheetData>
  <autoFilter ref="A48:F64" xr:uid="{3EBC111D-32CC-4817-94D6-9270E7EAA28D}">
    <sortState xmlns:xlrd2="http://schemas.microsoft.com/office/spreadsheetml/2017/richdata2" ref="A49:F64">
      <sortCondition descending="1" ref="D48:D64"/>
    </sortState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8081E9-C01B-49FF-9F09-94FAF40530AD}">
  <dimension ref="A19:D50"/>
  <sheetViews>
    <sheetView topLeftCell="A13" workbookViewId="0">
      <selection activeCell="F25" sqref="F25"/>
    </sheetView>
  </sheetViews>
  <sheetFormatPr defaultRowHeight="14.4" x14ac:dyDescent="0.3"/>
  <cols>
    <col min="2" max="2" width="52.5546875" bestFit="1" customWidth="1"/>
    <col min="3" max="3" width="14.6640625" bestFit="1" customWidth="1"/>
    <col min="4" max="4" width="14.77734375" bestFit="1" customWidth="1"/>
    <col min="7" max="7" width="12" bestFit="1" customWidth="1"/>
    <col min="9" max="9" width="26.5546875" customWidth="1"/>
    <col min="10" max="10" width="12.88671875" bestFit="1" customWidth="1"/>
    <col min="11" max="11" width="14.77734375" bestFit="1" customWidth="1"/>
  </cols>
  <sheetData>
    <row r="19" spans="1:4" x14ac:dyDescent="0.3">
      <c r="B19" t="s">
        <v>1</v>
      </c>
      <c r="C19" t="s">
        <v>191</v>
      </c>
    </row>
    <row r="20" spans="1:4" x14ac:dyDescent="0.3">
      <c r="A20">
        <v>0</v>
      </c>
      <c r="B20" t="s">
        <v>236</v>
      </c>
      <c r="C20" s="41">
        <v>3.07515775226056</v>
      </c>
      <c r="D20" s="43">
        <f>C20/$C$28</f>
        <v>2.9001513915861586E-3</v>
      </c>
    </row>
    <row r="21" spans="1:4" x14ac:dyDescent="0.3">
      <c r="A21">
        <v>2</v>
      </c>
      <c r="B21" t="s">
        <v>222</v>
      </c>
      <c r="C21" s="41">
        <v>202.220280881039</v>
      </c>
      <c r="D21" s="43">
        <f t="shared" ref="D21:D27" si="0">C21/$C$28</f>
        <v>0.19071198170987269</v>
      </c>
    </row>
    <row r="22" spans="1:4" x14ac:dyDescent="0.3">
      <c r="A22">
        <v>3</v>
      </c>
      <c r="B22" t="s">
        <v>237</v>
      </c>
      <c r="C22" s="41">
        <v>108.881264274008</v>
      </c>
      <c r="D22" s="43">
        <f t="shared" si="0"/>
        <v>0.10268486222204351</v>
      </c>
    </row>
    <row r="23" spans="1:4" x14ac:dyDescent="0.3">
      <c r="A23">
        <v>4</v>
      </c>
      <c r="B23" t="s">
        <v>238</v>
      </c>
      <c r="C23" s="41">
        <v>135.658236530609</v>
      </c>
      <c r="D23" s="43">
        <f t="shared" si="0"/>
        <v>0.1279379645369928</v>
      </c>
    </row>
    <row r="24" spans="1:4" x14ac:dyDescent="0.3">
      <c r="A24">
        <v>5</v>
      </c>
      <c r="B24" t="s">
        <v>239</v>
      </c>
      <c r="C24" s="41">
        <v>143.982501667924</v>
      </c>
      <c r="D24" s="43">
        <f t="shared" si="0"/>
        <v>0.13578849809227775</v>
      </c>
    </row>
    <row r="25" spans="1:4" x14ac:dyDescent="0.3">
      <c r="A25">
        <v>6</v>
      </c>
      <c r="B25" s="7" t="s">
        <v>240</v>
      </c>
      <c r="C25" s="41">
        <v>107.165580930188</v>
      </c>
      <c r="D25" s="44">
        <f t="shared" si="0"/>
        <v>0.10106681793360235</v>
      </c>
    </row>
    <row r="26" spans="1:4" x14ac:dyDescent="0.3">
      <c r="A26">
        <v>7</v>
      </c>
      <c r="B26" s="7" t="s">
        <v>241</v>
      </c>
      <c r="C26" s="41">
        <v>287.43798597902003</v>
      </c>
      <c r="D26" s="44">
        <f t="shared" si="0"/>
        <v>0.2710799712369179</v>
      </c>
    </row>
    <row r="27" spans="1:4" x14ac:dyDescent="0.3">
      <c r="A27">
        <v>8</v>
      </c>
      <c r="B27" t="s">
        <v>242</v>
      </c>
      <c r="C27" s="41">
        <v>71.922862716019097</v>
      </c>
      <c r="D27" s="43">
        <f t="shared" si="0"/>
        <v>6.7829752876706839E-2</v>
      </c>
    </row>
    <row r="28" spans="1:4" ht="15" thickBot="1" x14ac:dyDescent="0.35">
      <c r="C28" s="42">
        <f>SUM(C20:C27)</f>
        <v>1060.3438707310677</v>
      </c>
    </row>
    <row r="29" spans="1:4" ht="15" thickTop="1" x14ac:dyDescent="0.3"/>
    <row r="48" spans="3:3" x14ac:dyDescent="0.3">
      <c r="C48" s="41"/>
    </row>
    <row r="49" spans="3:3" x14ac:dyDescent="0.3">
      <c r="C49" s="40"/>
    </row>
    <row r="50" spans="3:3" x14ac:dyDescent="0.3">
      <c r="C50" s="40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311CA-BA05-4AC6-987D-BDB782E455B1}">
  <dimension ref="A1:J27"/>
  <sheetViews>
    <sheetView workbookViewId="0">
      <selection activeCell="C15" sqref="C15"/>
    </sheetView>
  </sheetViews>
  <sheetFormatPr defaultRowHeight="14.4" x14ac:dyDescent="0.3"/>
  <cols>
    <col min="1" max="1" width="27.109375" customWidth="1"/>
    <col min="2" max="2" width="18.88671875" customWidth="1"/>
    <col min="3" max="3" width="31" customWidth="1"/>
    <col min="4" max="4" width="20.88671875" customWidth="1"/>
    <col min="5" max="5" width="19.77734375" customWidth="1"/>
    <col min="6" max="6" width="20.21875" customWidth="1"/>
    <col min="7" max="7" width="15.6640625" customWidth="1"/>
    <col min="8" max="8" width="25.21875" bestFit="1" customWidth="1"/>
    <col min="10" max="10" width="32.77734375" bestFit="1" customWidth="1"/>
  </cols>
  <sheetData>
    <row r="1" spans="1:10" x14ac:dyDescent="0.3">
      <c r="A1" t="s">
        <v>66</v>
      </c>
      <c r="B1" t="s">
        <v>71</v>
      </c>
    </row>
    <row r="2" spans="1:10" x14ac:dyDescent="0.3">
      <c r="J2" t="s">
        <v>107</v>
      </c>
    </row>
    <row r="3" spans="1:10" x14ac:dyDescent="0.3">
      <c r="A3" s="1" t="s">
        <v>105</v>
      </c>
      <c r="J3" t="s">
        <v>108</v>
      </c>
    </row>
    <row r="4" spans="1:10" x14ac:dyDescent="0.3">
      <c r="J4" t="s">
        <v>109</v>
      </c>
    </row>
    <row r="5" spans="1:10" x14ac:dyDescent="0.3">
      <c r="A5" t="s">
        <v>68</v>
      </c>
      <c r="B5" t="s">
        <v>67</v>
      </c>
      <c r="C5" t="s">
        <v>69</v>
      </c>
      <c r="D5" t="s">
        <v>70</v>
      </c>
      <c r="E5" t="s">
        <v>83</v>
      </c>
    </row>
    <row r="6" spans="1:10" x14ac:dyDescent="0.3">
      <c r="A6" t="s">
        <v>73</v>
      </c>
      <c r="B6" t="s">
        <v>72</v>
      </c>
      <c r="C6" t="s">
        <v>74</v>
      </c>
      <c r="D6" t="s">
        <v>81</v>
      </c>
    </row>
    <row r="7" spans="1:10" x14ac:dyDescent="0.3">
      <c r="A7" t="s">
        <v>76</v>
      </c>
      <c r="B7" t="s">
        <v>75</v>
      </c>
      <c r="C7" t="s">
        <v>79</v>
      </c>
      <c r="D7" t="s">
        <v>78</v>
      </c>
      <c r="E7" t="s">
        <v>82</v>
      </c>
    </row>
    <row r="8" spans="1:10" x14ac:dyDescent="0.3">
      <c r="A8" t="s">
        <v>73</v>
      </c>
      <c r="B8" t="s">
        <v>80</v>
      </c>
      <c r="C8" t="s">
        <v>77</v>
      </c>
      <c r="D8" t="s">
        <v>78</v>
      </c>
      <c r="E8" t="s">
        <v>82</v>
      </c>
    </row>
    <row r="9" spans="1:10" x14ac:dyDescent="0.3">
      <c r="C9" s="10" t="s">
        <v>84</v>
      </c>
      <c r="D9" s="10" t="s">
        <v>78</v>
      </c>
      <c r="E9" s="10" t="s">
        <v>79</v>
      </c>
    </row>
    <row r="16" spans="1:10" x14ac:dyDescent="0.3">
      <c r="A16" s="1" t="s">
        <v>106</v>
      </c>
    </row>
    <row r="24" spans="1:8" x14ac:dyDescent="0.3">
      <c r="A24" s="13" t="s">
        <v>115</v>
      </c>
      <c r="B24" t="s">
        <v>66</v>
      </c>
      <c r="C24" t="s">
        <v>68</v>
      </c>
      <c r="D24" t="s">
        <v>67</v>
      </c>
      <c r="E24" t="s">
        <v>69</v>
      </c>
      <c r="F24" t="s">
        <v>70</v>
      </c>
      <c r="G24" t="s">
        <v>110</v>
      </c>
      <c r="H24" t="s">
        <v>111</v>
      </c>
    </row>
    <row r="25" spans="1:8" x14ac:dyDescent="0.3">
      <c r="A25" t="s">
        <v>114</v>
      </c>
      <c r="B25" t="s">
        <v>71</v>
      </c>
      <c r="C25" t="s">
        <v>73</v>
      </c>
      <c r="D25" t="s">
        <v>72</v>
      </c>
      <c r="E25" t="s">
        <v>74</v>
      </c>
      <c r="F25" t="s">
        <v>81</v>
      </c>
      <c r="G25" t="s">
        <v>113</v>
      </c>
      <c r="H25" t="s">
        <v>112</v>
      </c>
    </row>
    <row r="26" spans="1:8" x14ac:dyDescent="0.3">
      <c r="A26" t="s">
        <v>114</v>
      </c>
      <c r="B26" t="s">
        <v>71</v>
      </c>
      <c r="C26" t="s">
        <v>76</v>
      </c>
      <c r="D26" t="s">
        <v>75</v>
      </c>
      <c r="E26" t="s">
        <v>79</v>
      </c>
      <c r="F26" t="s">
        <v>78</v>
      </c>
      <c r="G26" t="s">
        <v>113</v>
      </c>
      <c r="H26" t="s">
        <v>112</v>
      </c>
    </row>
    <row r="27" spans="1:8" x14ac:dyDescent="0.3">
      <c r="A27" t="s">
        <v>114</v>
      </c>
      <c r="B27" t="s">
        <v>71</v>
      </c>
      <c r="C27" t="s">
        <v>73</v>
      </c>
      <c r="D27" t="s">
        <v>80</v>
      </c>
      <c r="E27" t="s">
        <v>77</v>
      </c>
      <c r="F27" t="s">
        <v>78</v>
      </c>
      <c r="G27" t="s">
        <v>113</v>
      </c>
      <c r="H27" t="s">
        <v>112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C0DDA-FCAE-4C0D-A313-69333A3B8D73}">
  <dimension ref="A3:V88"/>
  <sheetViews>
    <sheetView workbookViewId="0">
      <selection activeCell="D44" sqref="D44"/>
    </sheetView>
  </sheetViews>
  <sheetFormatPr defaultRowHeight="14.4" x14ac:dyDescent="0.3"/>
  <cols>
    <col min="2" max="2" width="29.6640625" bestFit="1" customWidth="1"/>
    <col min="3" max="3" width="12.21875" bestFit="1" customWidth="1"/>
    <col min="4" max="4" width="13.44140625" customWidth="1"/>
    <col min="5" max="5" width="16.44140625" customWidth="1"/>
    <col min="6" max="6" width="22.77734375" customWidth="1"/>
    <col min="7" max="7" width="22.5546875" customWidth="1"/>
    <col min="8" max="8" width="24.77734375" customWidth="1"/>
    <col min="9" max="9" width="19.21875" bestFit="1" customWidth="1"/>
    <col min="11" max="11" width="12.21875" bestFit="1" customWidth="1"/>
    <col min="14" max="14" width="23.21875" customWidth="1"/>
    <col min="15" max="15" width="18.21875" customWidth="1"/>
    <col min="16" max="16" width="11.88671875" customWidth="1"/>
    <col min="17" max="17" width="18.21875" customWidth="1"/>
    <col min="18" max="18" width="15.77734375" customWidth="1"/>
    <col min="19" max="19" width="14.109375" customWidth="1"/>
    <col min="21" max="21" width="16.5546875" customWidth="1"/>
  </cols>
  <sheetData>
    <row r="3" spans="1:22" x14ac:dyDescent="0.3">
      <c r="B3" t="s">
        <v>1</v>
      </c>
      <c r="C3" t="s">
        <v>128</v>
      </c>
      <c r="D3" t="s">
        <v>129</v>
      </c>
      <c r="E3" t="s">
        <v>131</v>
      </c>
      <c r="F3" t="s">
        <v>157</v>
      </c>
      <c r="G3" t="s">
        <v>132</v>
      </c>
      <c r="H3" t="s">
        <v>158</v>
      </c>
      <c r="N3" s="1" t="s">
        <v>156</v>
      </c>
    </row>
    <row r="4" spans="1:22" x14ac:dyDescent="0.3">
      <c r="A4">
        <v>0</v>
      </c>
      <c r="B4" t="s">
        <v>116</v>
      </c>
      <c r="C4" s="3">
        <v>10790258.296</v>
      </c>
      <c r="D4" s="3">
        <v>15088050.846999999</v>
      </c>
      <c r="E4" s="18">
        <f>SUM(C4:D4)</f>
        <v>25878309.142999999</v>
      </c>
      <c r="N4" t="s">
        <v>1</v>
      </c>
      <c r="O4" t="s">
        <v>128</v>
      </c>
      <c r="P4" t="s">
        <v>129</v>
      </c>
      <c r="Q4" t="s">
        <v>131</v>
      </c>
      <c r="R4" t="s">
        <v>157</v>
      </c>
      <c r="S4" t="s">
        <v>132</v>
      </c>
    </row>
    <row r="5" spans="1:22" x14ac:dyDescent="0.3">
      <c r="A5">
        <v>1</v>
      </c>
      <c r="B5" t="s">
        <v>117</v>
      </c>
      <c r="C5" s="3">
        <v>13340606.969000001</v>
      </c>
      <c r="D5" s="3">
        <v>26749775.57</v>
      </c>
      <c r="E5" s="18">
        <f t="shared" ref="E5:E15" si="0">SUM(C5:D5)</f>
        <v>40090382.539000005</v>
      </c>
      <c r="M5">
        <v>0</v>
      </c>
      <c r="N5" t="s">
        <v>114</v>
      </c>
      <c r="O5" s="3">
        <v>600991.84499999997</v>
      </c>
      <c r="P5" s="3">
        <v>939367.36300000001</v>
      </c>
      <c r="Q5" s="18">
        <f>SUM(O5:P5)</f>
        <v>1540359.2080000001</v>
      </c>
      <c r="R5" s="3">
        <v>631260.06900000002</v>
      </c>
      <c r="S5" s="4">
        <f>R5/Q5-1</f>
        <v>-0.59018645409363502</v>
      </c>
      <c r="U5" t="s">
        <v>159</v>
      </c>
      <c r="V5" s="21">
        <f>AVERAGE(S5:S28)</f>
        <v>-0.58824173170701299</v>
      </c>
    </row>
    <row r="6" spans="1:22" x14ac:dyDescent="0.3">
      <c r="A6">
        <v>2</v>
      </c>
      <c r="B6" t="s">
        <v>118</v>
      </c>
      <c r="C6" s="3">
        <v>12678795.914999999</v>
      </c>
      <c r="D6" s="3">
        <v>24526314.655999999</v>
      </c>
      <c r="E6" s="18">
        <f t="shared" si="0"/>
        <v>37205110.570999995</v>
      </c>
      <c r="M6">
        <v>1</v>
      </c>
      <c r="N6" t="s">
        <v>133</v>
      </c>
      <c r="O6" s="3">
        <v>531409.02800000005</v>
      </c>
      <c r="P6" s="3">
        <v>798072.76199999999</v>
      </c>
      <c r="Q6" s="18">
        <f t="shared" ref="Q6:Q28" si="1">SUM(O6:P6)</f>
        <v>1329481.79</v>
      </c>
      <c r="R6" s="3">
        <v>562106.68599999999</v>
      </c>
      <c r="S6" s="4">
        <f t="shared" ref="S6:S28" si="2">R6/Q6-1</f>
        <v>-0.57719865723019792</v>
      </c>
    </row>
    <row r="7" spans="1:22" x14ac:dyDescent="0.3">
      <c r="A7">
        <v>3</v>
      </c>
      <c r="B7" t="s">
        <v>119</v>
      </c>
      <c r="C7" s="3">
        <v>13089635.005999999</v>
      </c>
      <c r="D7" s="3">
        <v>24955737.304000001</v>
      </c>
      <c r="E7" s="18">
        <f t="shared" si="0"/>
        <v>38045372.310000002</v>
      </c>
      <c r="M7">
        <v>2</v>
      </c>
      <c r="N7" t="s">
        <v>134</v>
      </c>
      <c r="O7" s="3">
        <v>532384.43099999998</v>
      </c>
      <c r="P7" s="3">
        <v>853603.14800000004</v>
      </c>
      <c r="Q7" s="18">
        <f t="shared" si="1"/>
        <v>1385987.5789999999</v>
      </c>
      <c r="R7" s="3">
        <v>560123.62199999997</v>
      </c>
      <c r="S7" s="4">
        <f t="shared" si="2"/>
        <v>-0.59586678085229794</v>
      </c>
    </row>
    <row r="8" spans="1:22" x14ac:dyDescent="0.3">
      <c r="A8">
        <v>4</v>
      </c>
      <c r="B8" t="s">
        <v>120</v>
      </c>
      <c r="C8" s="3">
        <v>12723272.283</v>
      </c>
      <c r="D8" s="3">
        <v>16201692.041999999</v>
      </c>
      <c r="E8" s="18">
        <f t="shared" si="0"/>
        <v>28924964.324999999</v>
      </c>
      <c r="M8">
        <v>3</v>
      </c>
      <c r="N8" t="s">
        <v>135</v>
      </c>
      <c r="O8" s="3">
        <v>563528.23199999996</v>
      </c>
      <c r="P8" s="3">
        <v>930017.03899999999</v>
      </c>
      <c r="Q8" s="18">
        <f t="shared" si="1"/>
        <v>1493545.2709999999</v>
      </c>
      <c r="R8" s="3">
        <v>594181.76300000004</v>
      </c>
      <c r="S8" s="4">
        <f t="shared" si="2"/>
        <v>-0.602166888050091</v>
      </c>
    </row>
    <row r="9" spans="1:22" x14ac:dyDescent="0.3">
      <c r="A9">
        <v>5</v>
      </c>
      <c r="B9" t="s">
        <v>121</v>
      </c>
      <c r="C9" s="3">
        <v>13894648.264</v>
      </c>
      <c r="D9" s="3">
        <v>23703413.478</v>
      </c>
      <c r="E9" s="18">
        <f t="shared" si="0"/>
        <v>37598061.741999999</v>
      </c>
      <c r="F9" s="3">
        <v>14555875.312999999</v>
      </c>
      <c r="G9" s="4">
        <f>F9/E9-1</f>
        <v>-0.61285569950697916</v>
      </c>
      <c r="H9" s="20">
        <f>E9-F9</f>
        <v>23042186.428999998</v>
      </c>
      <c r="K9" s="20">
        <f>H9*11</f>
        <v>253464050.71899998</v>
      </c>
      <c r="M9">
        <v>4</v>
      </c>
      <c r="N9" t="s">
        <v>136</v>
      </c>
      <c r="O9" s="3">
        <v>544012.93500000006</v>
      </c>
      <c r="P9" s="3">
        <v>826744.07499999995</v>
      </c>
      <c r="Q9" s="18">
        <f t="shared" si="1"/>
        <v>1370757.01</v>
      </c>
      <c r="R9" s="3">
        <v>573323.22900000005</v>
      </c>
      <c r="S9" s="4">
        <f t="shared" si="2"/>
        <v>-0.58174700197228968</v>
      </c>
    </row>
    <row r="10" spans="1:22" x14ac:dyDescent="0.3">
      <c r="A10">
        <v>6</v>
      </c>
      <c r="B10" t="s">
        <v>122</v>
      </c>
      <c r="C10" s="3">
        <v>14650592.608999999</v>
      </c>
      <c r="D10" s="3">
        <v>22052770.774999999</v>
      </c>
      <c r="E10" s="18">
        <f t="shared" si="0"/>
        <v>36703363.383999996</v>
      </c>
      <c r="M10">
        <v>5</v>
      </c>
      <c r="N10" t="s">
        <v>137</v>
      </c>
      <c r="O10" s="3">
        <v>572668.07299999997</v>
      </c>
      <c r="P10" s="3">
        <v>816953.29099999997</v>
      </c>
      <c r="Q10" s="18">
        <f t="shared" si="1"/>
        <v>1389621.3640000001</v>
      </c>
      <c r="R10" s="3">
        <v>602327.74100000004</v>
      </c>
      <c r="S10" s="4">
        <f t="shared" si="2"/>
        <v>-0.56655261886143538</v>
      </c>
    </row>
    <row r="11" spans="1:22" x14ac:dyDescent="0.3">
      <c r="A11">
        <v>7</v>
      </c>
      <c r="B11" t="s">
        <v>123</v>
      </c>
      <c r="C11" s="3">
        <v>12265734.221000001</v>
      </c>
      <c r="D11" s="3">
        <v>24354845.747000001</v>
      </c>
      <c r="E11" s="18">
        <f t="shared" si="0"/>
        <v>36620579.968000002</v>
      </c>
      <c r="M11">
        <v>6</v>
      </c>
      <c r="N11" t="s">
        <v>138</v>
      </c>
      <c r="O11" s="3">
        <v>581009.65500000003</v>
      </c>
      <c r="P11" s="3">
        <v>1082872.7239999999</v>
      </c>
      <c r="Q11" s="18">
        <f t="shared" si="1"/>
        <v>1663882.379</v>
      </c>
      <c r="R11" s="3">
        <v>610554.56900000002</v>
      </c>
      <c r="S11" s="4">
        <f>R11/Q11-1</f>
        <v>-0.63305424908283126</v>
      </c>
    </row>
    <row r="12" spans="1:22" x14ac:dyDescent="0.3">
      <c r="A12">
        <v>8</v>
      </c>
      <c r="B12" t="s">
        <v>124</v>
      </c>
      <c r="C12" s="3">
        <v>11733377.833000001</v>
      </c>
      <c r="D12" s="3">
        <v>23437545.640000001</v>
      </c>
      <c r="E12" s="18">
        <f t="shared" si="0"/>
        <v>35170923.473000005</v>
      </c>
      <c r="M12">
        <v>7</v>
      </c>
      <c r="N12" t="s">
        <v>139</v>
      </c>
      <c r="O12" s="3">
        <v>552412.27500000002</v>
      </c>
      <c r="P12" s="3">
        <v>721531.54</v>
      </c>
      <c r="Q12" s="18">
        <f t="shared" si="1"/>
        <v>1273943.8149999999</v>
      </c>
      <c r="R12" s="3">
        <v>584052.09100000001</v>
      </c>
      <c r="S12" s="4">
        <f t="shared" si="2"/>
        <v>-0.54154014947668627</v>
      </c>
    </row>
    <row r="13" spans="1:22" x14ac:dyDescent="0.3">
      <c r="A13">
        <v>9</v>
      </c>
      <c r="B13" t="s">
        <v>125</v>
      </c>
      <c r="C13" s="3">
        <v>11656918.051000001</v>
      </c>
      <c r="D13" s="3">
        <v>20944889.666999999</v>
      </c>
      <c r="E13" s="18">
        <f t="shared" si="0"/>
        <v>32601807.718000002</v>
      </c>
      <c r="M13">
        <v>8</v>
      </c>
      <c r="N13" t="s">
        <v>140</v>
      </c>
      <c r="O13" s="3">
        <v>519878.20400000003</v>
      </c>
      <c r="P13" s="3">
        <v>888667.13</v>
      </c>
      <c r="Q13" s="18">
        <f t="shared" si="1"/>
        <v>1408545.334</v>
      </c>
      <c r="R13" s="3">
        <v>548953.05900000001</v>
      </c>
      <c r="S13" s="4">
        <f t="shared" si="2"/>
        <v>-0.61026951298679322</v>
      </c>
    </row>
    <row r="14" spans="1:22" x14ac:dyDescent="0.3">
      <c r="A14">
        <v>10</v>
      </c>
      <c r="B14" t="s">
        <v>126</v>
      </c>
      <c r="C14" s="3">
        <v>9655947.4409999996</v>
      </c>
      <c r="D14" s="3">
        <v>21165269.662999999</v>
      </c>
      <c r="E14" s="18">
        <f t="shared" si="0"/>
        <v>30821217.103999998</v>
      </c>
      <c r="M14">
        <v>9</v>
      </c>
      <c r="N14" t="s">
        <v>141</v>
      </c>
      <c r="O14" s="3">
        <v>587389.04799999995</v>
      </c>
      <c r="P14" s="3">
        <v>930382.17200000002</v>
      </c>
      <c r="Q14" s="18">
        <f t="shared" si="1"/>
        <v>1517771.22</v>
      </c>
      <c r="R14" s="3">
        <v>618137.44200000004</v>
      </c>
      <c r="S14" s="4">
        <f t="shared" si="2"/>
        <v>-0.59273345425537838</v>
      </c>
    </row>
    <row r="15" spans="1:22" x14ac:dyDescent="0.3">
      <c r="A15">
        <v>11</v>
      </c>
      <c r="B15" t="s">
        <v>127</v>
      </c>
      <c r="C15" t="s">
        <v>130</v>
      </c>
      <c r="D15" s="3">
        <v>20449778.804000001</v>
      </c>
      <c r="E15" s="18">
        <f t="shared" si="0"/>
        <v>20449778.804000001</v>
      </c>
      <c r="M15">
        <v>10</v>
      </c>
      <c r="N15" t="s">
        <v>142</v>
      </c>
      <c r="O15" s="3">
        <v>579496.61499999999</v>
      </c>
      <c r="P15" s="3">
        <v>914659.75899999996</v>
      </c>
      <c r="Q15" s="18">
        <f t="shared" si="1"/>
        <v>1494156.3739999998</v>
      </c>
      <c r="R15" s="3">
        <v>610742.04299999995</v>
      </c>
      <c r="S15" s="4">
        <f t="shared" si="2"/>
        <v>-0.59124623524846665</v>
      </c>
    </row>
    <row r="16" spans="1:22" ht="15" thickBot="1" x14ac:dyDescent="0.35">
      <c r="C16" s="3"/>
      <c r="D16" s="26">
        <f>SUM(D4:D15)</f>
        <v>263630084.19299999</v>
      </c>
      <c r="E16" s="26">
        <f>SUM(E4:E15)</f>
        <v>400109871.08099997</v>
      </c>
      <c r="M16">
        <v>11</v>
      </c>
      <c r="N16" t="s">
        <v>143</v>
      </c>
      <c r="O16" s="3">
        <v>541722.50699999998</v>
      </c>
      <c r="P16" s="3">
        <v>821900.70499999996</v>
      </c>
      <c r="Q16" s="18">
        <f t="shared" si="1"/>
        <v>1363623.2119999998</v>
      </c>
      <c r="R16" s="3">
        <v>572489.31799999997</v>
      </c>
      <c r="S16" s="4">
        <f t="shared" si="2"/>
        <v>-0.58017045107325438</v>
      </c>
    </row>
    <row r="17" spans="2:19" ht="15" thickTop="1" x14ac:dyDescent="0.3">
      <c r="C17" s="3"/>
      <c r="D17" s="17"/>
      <c r="M17">
        <v>12</v>
      </c>
      <c r="N17" t="s">
        <v>144</v>
      </c>
      <c r="O17" s="3">
        <v>619835.12800000003</v>
      </c>
      <c r="P17" s="3">
        <v>963974.85800000001</v>
      </c>
      <c r="Q17" s="18">
        <f t="shared" si="1"/>
        <v>1583809.986</v>
      </c>
      <c r="R17" s="3">
        <v>651944.12600000005</v>
      </c>
      <c r="S17" s="4">
        <f t="shared" si="2"/>
        <v>-0.58836973389306557</v>
      </c>
    </row>
    <row r="18" spans="2:19" ht="28.8" x14ac:dyDescent="0.3">
      <c r="C18" s="3"/>
      <c r="D18" s="18">
        <f>SUM(D4:D8)</f>
        <v>107521570.419</v>
      </c>
      <c r="G18" s="22" t="s">
        <v>160</v>
      </c>
      <c r="H18" s="18">
        <f>SUM(E4:E14)</f>
        <v>379660092.27699995</v>
      </c>
      <c r="I18" s="18">
        <f>E9</f>
        <v>37598061.741999999</v>
      </c>
      <c r="M18">
        <v>13</v>
      </c>
      <c r="N18" t="s">
        <v>145</v>
      </c>
      <c r="O18" s="3">
        <v>594288.71400000004</v>
      </c>
      <c r="P18" s="3">
        <v>832116.33200000005</v>
      </c>
      <c r="Q18" s="18">
        <f t="shared" si="1"/>
        <v>1426405.0460000001</v>
      </c>
      <c r="R18" s="3">
        <v>619091.81700000004</v>
      </c>
      <c r="S18" s="4">
        <f t="shared" si="2"/>
        <v>-0.56597754702558722</v>
      </c>
    </row>
    <row r="19" spans="2:19" x14ac:dyDescent="0.3">
      <c r="C19" s="3"/>
      <c r="I19" s="23">
        <f>-G9*I18</f>
        <v>23042186.429000001</v>
      </c>
      <c r="M19">
        <v>14</v>
      </c>
      <c r="N19" t="s">
        <v>146</v>
      </c>
      <c r="O19" s="3">
        <v>551562.42500000005</v>
      </c>
      <c r="P19" s="3">
        <v>792853.12899999996</v>
      </c>
      <c r="Q19" s="18">
        <f t="shared" si="1"/>
        <v>1344415.554</v>
      </c>
      <c r="R19" s="3">
        <v>579239.18700000003</v>
      </c>
      <c r="S19" s="4">
        <f t="shared" si="2"/>
        <v>-0.56915167689290214</v>
      </c>
    </row>
    <row r="20" spans="2:19" x14ac:dyDescent="0.3">
      <c r="M20">
        <v>15</v>
      </c>
      <c r="N20" t="s">
        <v>147</v>
      </c>
      <c r="O20" s="3">
        <v>588832.00600000005</v>
      </c>
      <c r="P20" s="3">
        <v>866332.30200000003</v>
      </c>
      <c r="Q20" s="18">
        <f t="shared" si="1"/>
        <v>1455164.3080000002</v>
      </c>
      <c r="R20" s="3">
        <v>620314.74300000002</v>
      </c>
      <c r="S20" s="4">
        <f t="shared" si="2"/>
        <v>-0.5737149821571903</v>
      </c>
    </row>
    <row r="21" spans="2:19" x14ac:dyDescent="0.3">
      <c r="M21">
        <v>16</v>
      </c>
      <c r="N21" t="s">
        <v>148</v>
      </c>
      <c r="O21" s="3">
        <v>584884.73300000001</v>
      </c>
      <c r="P21" s="3">
        <v>977450.13800000004</v>
      </c>
      <c r="Q21" s="18">
        <f t="shared" si="1"/>
        <v>1562334.871</v>
      </c>
      <c r="R21" s="3">
        <v>612638.85400000005</v>
      </c>
      <c r="S21" s="4">
        <f t="shared" si="2"/>
        <v>-0.60786969210520803</v>
      </c>
    </row>
    <row r="22" spans="2:19" x14ac:dyDescent="0.3">
      <c r="M22">
        <v>17</v>
      </c>
      <c r="N22" t="s">
        <v>149</v>
      </c>
      <c r="O22" s="3">
        <v>548194.50899999996</v>
      </c>
      <c r="P22" s="3">
        <v>868520.875</v>
      </c>
      <c r="Q22" s="18">
        <f t="shared" si="1"/>
        <v>1416715.3840000001</v>
      </c>
      <c r="R22" s="3">
        <v>576916.39199999999</v>
      </c>
      <c r="S22" s="4">
        <f t="shared" si="2"/>
        <v>-0.59277890357122009</v>
      </c>
    </row>
    <row r="23" spans="2:19" ht="28.8" x14ac:dyDescent="0.3">
      <c r="G23" s="22" t="s">
        <v>161</v>
      </c>
      <c r="H23" s="24">
        <f>-V5*H18</f>
        <v>223331910.14106679</v>
      </c>
      <c r="M23">
        <v>18</v>
      </c>
      <c r="N23" t="s">
        <v>150</v>
      </c>
      <c r="O23" s="3">
        <v>540273.37399999995</v>
      </c>
      <c r="P23" s="3">
        <v>901820.66099999996</v>
      </c>
      <c r="Q23" s="18">
        <f t="shared" si="1"/>
        <v>1442094.0349999999</v>
      </c>
      <c r="R23" s="3">
        <v>568373.66200000001</v>
      </c>
      <c r="S23" s="4">
        <f t="shared" si="2"/>
        <v>-0.60586920949298562</v>
      </c>
    </row>
    <row r="24" spans="2:19" x14ac:dyDescent="0.3">
      <c r="M24">
        <v>19</v>
      </c>
      <c r="N24" t="s">
        <v>151</v>
      </c>
      <c r="O24" s="3">
        <v>571506.75800000003</v>
      </c>
      <c r="P24" s="3">
        <v>946010.24699999997</v>
      </c>
      <c r="Q24" s="18">
        <f t="shared" si="1"/>
        <v>1517517.0049999999</v>
      </c>
      <c r="R24" s="3">
        <v>600187.13800000004</v>
      </c>
      <c r="S24" s="4">
        <f t="shared" si="2"/>
        <v>-0.60449396216156392</v>
      </c>
    </row>
    <row r="25" spans="2:19" x14ac:dyDescent="0.3">
      <c r="M25">
        <v>20</v>
      </c>
      <c r="N25" t="s">
        <v>152</v>
      </c>
      <c r="O25" s="3">
        <v>607750.34699999995</v>
      </c>
      <c r="P25" s="3">
        <v>923204.20299999998</v>
      </c>
      <c r="Q25" s="18">
        <f t="shared" si="1"/>
        <v>1530954.5499999998</v>
      </c>
      <c r="R25" s="3">
        <v>636039.97699999996</v>
      </c>
      <c r="S25" s="4">
        <f t="shared" si="2"/>
        <v>-0.58454679337149495</v>
      </c>
    </row>
    <row r="26" spans="2:19" x14ac:dyDescent="0.3">
      <c r="C26" t="s">
        <v>128</v>
      </c>
      <c r="D26" t="s">
        <v>162</v>
      </c>
      <c r="E26" t="s">
        <v>131</v>
      </c>
      <c r="F26" t="s">
        <v>157</v>
      </c>
      <c r="G26" t="s">
        <v>172</v>
      </c>
      <c r="H26" t="s">
        <v>132</v>
      </c>
      <c r="I26" t="s">
        <v>158</v>
      </c>
      <c r="M26">
        <v>21</v>
      </c>
      <c r="N26" t="s">
        <v>153</v>
      </c>
      <c r="O26" s="3">
        <v>660304.22699999996</v>
      </c>
      <c r="P26" s="3">
        <v>1300222.426</v>
      </c>
      <c r="Q26" s="18">
        <f t="shared" si="1"/>
        <v>1960526.6529999999</v>
      </c>
      <c r="R26" s="3">
        <v>691960.929</v>
      </c>
      <c r="S26" s="4">
        <f t="shared" si="2"/>
        <v>-0.64705354658598457</v>
      </c>
    </row>
    <row r="27" spans="2:19" x14ac:dyDescent="0.3">
      <c r="B27" t="s">
        <v>116</v>
      </c>
      <c r="C27" s="3">
        <v>10790258.296</v>
      </c>
      <c r="D27" s="29">
        <v>7525755.7009999901</v>
      </c>
      <c r="E27" s="18">
        <f>SUM(C27:D27)</f>
        <v>18316013.99699999</v>
      </c>
      <c r="F27" s="29">
        <v>11326251.022</v>
      </c>
      <c r="G27" s="4">
        <f>F27/C27-1</f>
        <v>4.9673762323066528E-2</v>
      </c>
      <c r="H27" s="4">
        <f t="shared" ref="H27:H36" si="3">F27/E27-1</f>
        <v>-0.38162031193822277</v>
      </c>
      <c r="I27" s="18">
        <f t="shared" ref="I27:I36" si="4">E27-F27</f>
        <v>6989762.9749999903</v>
      </c>
      <c r="M27">
        <v>22</v>
      </c>
      <c r="N27" t="s">
        <v>154</v>
      </c>
      <c r="O27" s="3">
        <v>575175.85800000001</v>
      </c>
      <c r="P27" s="3">
        <v>843047.147</v>
      </c>
      <c r="Q27" s="18">
        <f t="shared" si="1"/>
        <v>1418223.0049999999</v>
      </c>
      <c r="R27" s="3">
        <v>605916.022</v>
      </c>
      <c r="S27" s="4">
        <f t="shared" si="2"/>
        <v>-0.57276393073316423</v>
      </c>
    </row>
    <row r="28" spans="2:19" x14ac:dyDescent="0.3">
      <c r="B28" s="27" t="s">
        <v>117</v>
      </c>
      <c r="C28" s="3">
        <v>13340606.969000001</v>
      </c>
      <c r="D28" s="28">
        <v>8634802.7549999896</v>
      </c>
      <c r="E28" s="18">
        <f t="shared" ref="E28:E37" si="5">SUM(C28:D28)</f>
        <v>21975409.723999992</v>
      </c>
      <c r="F28" s="29">
        <v>14218343.655999999</v>
      </c>
      <c r="G28" s="4">
        <f t="shared" ref="G28:G36" si="6">F28/C28-1</f>
        <v>6.5794359210163744E-2</v>
      </c>
      <c r="H28" s="4">
        <f t="shared" si="3"/>
        <v>-0.35298846144052876</v>
      </c>
      <c r="I28" s="18">
        <f t="shared" si="4"/>
        <v>7757066.0679999925</v>
      </c>
      <c r="M28">
        <v>23</v>
      </c>
      <c r="N28" t="s">
        <v>155</v>
      </c>
      <c r="O28" s="3">
        <v>695671.15800000005</v>
      </c>
      <c r="P28" s="3">
        <v>888957.83100000001</v>
      </c>
      <c r="Q28" s="18">
        <f t="shared" si="1"/>
        <v>1584628.9890000001</v>
      </c>
      <c r="R28" s="3">
        <v>725000.83400000003</v>
      </c>
      <c r="S28" s="4">
        <f t="shared" si="2"/>
        <v>-0.54247912979458945</v>
      </c>
    </row>
    <row r="29" spans="2:19" ht="15" thickBot="1" x14ac:dyDescent="0.35">
      <c r="B29" s="27" t="s">
        <v>118</v>
      </c>
      <c r="C29" s="3">
        <v>12678795.914999999</v>
      </c>
      <c r="D29" s="28">
        <v>8169565.7999999998</v>
      </c>
      <c r="E29" s="18">
        <f t="shared" si="5"/>
        <v>20848361.715</v>
      </c>
      <c r="F29" s="29">
        <v>13536970.0819999</v>
      </c>
      <c r="G29" s="4">
        <f t="shared" si="6"/>
        <v>6.7685778109624284E-2</v>
      </c>
      <c r="H29" s="4">
        <f t="shared" si="3"/>
        <v>-0.35069382107562408</v>
      </c>
      <c r="I29" s="18">
        <f t="shared" si="4"/>
        <v>7311391.6330001</v>
      </c>
      <c r="O29" s="19">
        <f>SUM(O5:O28)</f>
        <v>13845182.084999997</v>
      </c>
      <c r="P29" s="19">
        <f>SUM(P5:P28)</f>
        <v>21629281.857000001</v>
      </c>
      <c r="Q29" s="19">
        <f>SUM(Q5:Q28)</f>
        <v>35474463.942000002</v>
      </c>
      <c r="R29" s="19">
        <f>SUM(R5:R28)</f>
        <v>14555875.313000003</v>
      </c>
    </row>
    <row r="30" spans="2:19" ht="15" thickTop="1" x14ac:dyDescent="0.3">
      <c r="B30" s="27" t="s">
        <v>119</v>
      </c>
      <c r="C30" s="3">
        <v>13089635.005999999</v>
      </c>
      <c r="D30" s="28">
        <v>8672805.8019999992</v>
      </c>
      <c r="E30" s="18">
        <f t="shared" si="5"/>
        <v>21762440.807999998</v>
      </c>
      <c r="F30" s="29">
        <v>13850853.927999999</v>
      </c>
      <c r="G30" s="4">
        <f t="shared" si="6"/>
        <v>5.8154327576825038E-2</v>
      </c>
      <c r="H30" s="4">
        <f t="shared" si="3"/>
        <v>-0.3635431774312583</v>
      </c>
      <c r="I30" s="18">
        <f t="shared" si="4"/>
        <v>7911586.879999999</v>
      </c>
    </row>
    <row r="31" spans="2:19" x14ac:dyDescent="0.3">
      <c r="B31" s="27" t="s">
        <v>120</v>
      </c>
      <c r="C31" s="3">
        <v>12723272.283</v>
      </c>
      <c r="D31" s="28">
        <v>8048860.8669999996</v>
      </c>
      <c r="E31" s="18">
        <f t="shared" si="5"/>
        <v>20772133.149999999</v>
      </c>
      <c r="F31" s="29">
        <v>13540846.074999999</v>
      </c>
      <c r="G31" s="4">
        <f t="shared" si="6"/>
        <v>6.4258138458011871E-2</v>
      </c>
      <c r="H31" s="4">
        <f t="shared" si="3"/>
        <v>-0.34812443299786955</v>
      </c>
      <c r="I31" s="18">
        <f t="shared" si="4"/>
        <v>7231287.0749999993</v>
      </c>
    </row>
    <row r="32" spans="2:19" x14ac:dyDescent="0.3">
      <c r="B32" s="27" t="s">
        <v>121</v>
      </c>
      <c r="C32" s="3">
        <v>13894648.264</v>
      </c>
      <c r="D32" s="28">
        <v>9618927.8890000004</v>
      </c>
      <c r="E32" s="18">
        <f t="shared" si="5"/>
        <v>23513576.153000001</v>
      </c>
      <c r="F32" s="29">
        <v>14782162.382999999</v>
      </c>
      <c r="G32" s="4">
        <f t="shared" si="6"/>
        <v>6.3874529397011326E-2</v>
      </c>
      <c r="H32" s="4">
        <f t="shared" si="3"/>
        <v>-0.37133499869121334</v>
      </c>
      <c r="I32" s="18">
        <f t="shared" si="4"/>
        <v>8731413.7700000014</v>
      </c>
      <c r="N32" t="s">
        <v>114</v>
      </c>
      <c r="O32" s="25">
        <f>O5/$O$5</f>
        <v>1</v>
      </c>
      <c r="P32" s="25">
        <f>P5/$P$5</f>
        <v>1</v>
      </c>
    </row>
    <row r="33" spans="2:16" x14ac:dyDescent="0.3">
      <c r="B33" s="27" t="s">
        <v>122</v>
      </c>
      <c r="C33" s="3">
        <v>14650592.608999999</v>
      </c>
      <c r="D33" s="28">
        <v>9463874.1329999994</v>
      </c>
      <c r="E33" s="18">
        <f t="shared" si="5"/>
        <v>24114466.741999999</v>
      </c>
      <c r="F33" s="29">
        <v>15489434.184</v>
      </c>
      <c r="G33" s="4">
        <f t="shared" si="6"/>
        <v>5.7256494490515841E-2</v>
      </c>
      <c r="H33" s="4">
        <f t="shared" si="3"/>
        <v>-0.35767046604343278</v>
      </c>
      <c r="I33" s="18">
        <f t="shared" si="4"/>
        <v>8625032.5579999983</v>
      </c>
      <c r="N33" t="s">
        <v>133</v>
      </c>
      <c r="O33" s="25">
        <f t="shared" ref="O33:O55" si="7">O6/$O$5</f>
        <v>0.88422003130508375</v>
      </c>
      <c r="P33" s="25">
        <f t="shared" ref="P33:P55" si="8">P6/$P$5</f>
        <v>0.84958536290982467</v>
      </c>
    </row>
    <row r="34" spans="2:16" x14ac:dyDescent="0.3">
      <c r="B34" s="27" t="s">
        <v>123</v>
      </c>
      <c r="C34" s="3">
        <v>12265734.221000001</v>
      </c>
      <c r="D34" s="28">
        <v>9858878.6879999992</v>
      </c>
      <c r="E34" s="18">
        <f t="shared" si="5"/>
        <v>22124612.909000002</v>
      </c>
      <c r="F34" s="29">
        <v>13095757.506999999</v>
      </c>
      <c r="G34" s="9">
        <f>F34/C34-1</f>
        <v>6.7670085707460359E-2</v>
      </c>
      <c r="H34" s="4">
        <f t="shared" si="3"/>
        <v>-0.40809099978997521</v>
      </c>
      <c r="I34" s="18">
        <f t="shared" si="4"/>
        <v>9028855.4020000026</v>
      </c>
      <c r="N34" t="s">
        <v>134</v>
      </c>
      <c r="O34" s="25">
        <f t="shared" si="7"/>
        <v>0.88584302004963145</v>
      </c>
      <c r="P34" s="25">
        <f t="shared" si="8"/>
        <v>0.90870002687116991</v>
      </c>
    </row>
    <row r="35" spans="2:16" x14ac:dyDescent="0.3">
      <c r="B35" s="27" t="s">
        <v>124</v>
      </c>
      <c r="C35" s="3">
        <v>11733377.833000001</v>
      </c>
      <c r="D35" s="28">
        <v>9294719.2420000006</v>
      </c>
      <c r="E35" s="18">
        <f t="shared" si="5"/>
        <v>21028097.075000003</v>
      </c>
      <c r="F35" s="29">
        <v>12473389.293999899</v>
      </c>
      <c r="G35" s="4">
        <f t="shared" si="6"/>
        <v>6.3068919413693747E-2</v>
      </c>
      <c r="H35" s="4">
        <f t="shared" si="3"/>
        <v>-0.40682272630226113</v>
      </c>
      <c r="I35" s="18">
        <f t="shared" si="4"/>
        <v>8554707.7810001038</v>
      </c>
      <c r="N35" t="s">
        <v>135</v>
      </c>
      <c r="O35" s="25">
        <f t="shared" si="7"/>
        <v>0.93766369159301988</v>
      </c>
      <c r="P35" s="25">
        <f t="shared" si="8"/>
        <v>0.99004614768588672</v>
      </c>
    </row>
    <row r="36" spans="2:16" x14ac:dyDescent="0.3">
      <c r="B36" s="27" t="s">
        <v>125</v>
      </c>
      <c r="C36" s="3">
        <v>11656918.051000001</v>
      </c>
      <c r="D36" s="28">
        <v>9491897.3019999992</v>
      </c>
      <c r="E36" s="18">
        <f t="shared" si="5"/>
        <v>21148815.353</v>
      </c>
      <c r="F36" s="29">
        <v>12402114.174000001</v>
      </c>
      <c r="G36" s="4">
        <f t="shared" si="6"/>
        <v>6.3927370831612818E-2</v>
      </c>
      <c r="H36" s="4">
        <f t="shared" si="3"/>
        <v>-0.41357877654169706</v>
      </c>
      <c r="I36" s="18">
        <f t="shared" si="4"/>
        <v>8746701.1789999995</v>
      </c>
      <c r="N36" t="s">
        <v>136</v>
      </c>
      <c r="O36" s="25">
        <f t="shared" si="7"/>
        <v>0.90519187494133146</v>
      </c>
      <c r="P36" s="25">
        <f t="shared" si="8"/>
        <v>0.88010730153502248</v>
      </c>
    </row>
    <row r="37" spans="2:16" x14ac:dyDescent="0.3">
      <c r="B37" t="s">
        <v>126</v>
      </c>
      <c r="C37" s="8">
        <v>9655947.4409999996</v>
      </c>
      <c r="D37" s="3">
        <v>10997027.449999999</v>
      </c>
      <c r="E37" s="18">
        <f t="shared" si="5"/>
        <v>20652974.890999999</v>
      </c>
      <c r="F37" s="31">
        <v>7365020.0179999899</v>
      </c>
      <c r="N37" t="s">
        <v>137</v>
      </c>
      <c r="O37" s="25">
        <f t="shared" si="7"/>
        <v>0.95287162007996962</v>
      </c>
      <c r="P37" s="25">
        <f t="shared" si="8"/>
        <v>0.86968455918134757</v>
      </c>
    </row>
    <row r="38" spans="2:16" x14ac:dyDescent="0.3">
      <c r="B38" t="s">
        <v>127</v>
      </c>
      <c r="C38" t="s">
        <v>130</v>
      </c>
      <c r="D38" s="3">
        <v>10963906.431</v>
      </c>
      <c r="E38">
        <v>0</v>
      </c>
      <c r="N38" t="s">
        <v>138</v>
      </c>
      <c r="O38" s="25">
        <f t="shared" si="7"/>
        <v>0.96675131257396685</v>
      </c>
      <c r="P38" s="25">
        <f t="shared" si="8"/>
        <v>1.1527680933492257</v>
      </c>
    </row>
    <row r="39" spans="2:16" x14ac:dyDescent="0.3">
      <c r="J39" s="17"/>
      <c r="N39" t="s">
        <v>139</v>
      </c>
      <c r="O39" s="25">
        <f t="shared" si="7"/>
        <v>0.91916767190077275</v>
      </c>
      <c r="P39" s="25">
        <f t="shared" si="8"/>
        <v>0.76810369235704434</v>
      </c>
    </row>
    <row r="40" spans="2:16" ht="15" thickBot="1" x14ac:dyDescent="0.35">
      <c r="B40" t="s">
        <v>173</v>
      </c>
      <c r="C40" s="26">
        <f>SUM(C27:C37)</f>
        <v>136479786.88800001</v>
      </c>
      <c r="D40" s="26">
        <f>SUM(D27:D37)</f>
        <v>99777115.628999978</v>
      </c>
      <c r="E40" s="26">
        <f t="shared" ref="E40" si="9">SUM(E27:E37)</f>
        <v>236256902.51699999</v>
      </c>
      <c r="F40" s="26">
        <f>SUM(F27:F37)</f>
        <v>142081142.32299978</v>
      </c>
      <c r="G40" s="32">
        <f t="shared" ref="G40" si="10">F40/C40-1</f>
        <v>4.104164845741165E-2</v>
      </c>
      <c r="H40" s="32">
        <f>F40/E40-1</f>
        <v>-0.39861591001441221</v>
      </c>
      <c r="I40" s="24">
        <f>E40-F40</f>
        <v>94175760.194000214</v>
      </c>
      <c r="N40" t="s">
        <v>140</v>
      </c>
      <c r="O40" s="25">
        <f t="shared" si="7"/>
        <v>0.86503370773691624</v>
      </c>
      <c r="P40" s="25">
        <f t="shared" si="8"/>
        <v>0.94602725728294224</v>
      </c>
    </row>
    <row r="41" spans="2:16" ht="15" thickTop="1" x14ac:dyDescent="0.3">
      <c r="J41" s="17"/>
      <c r="N41" t="s">
        <v>141</v>
      </c>
      <c r="O41" s="25">
        <f t="shared" si="7"/>
        <v>0.97736608722203211</v>
      </c>
      <c r="P41" s="25">
        <f t="shared" si="8"/>
        <v>0.99043484865036768</v>
      </c>
    </row>
    <row r="42" spans="2:16" x14ac:dyDescent="0.3">
      <c r="N42" t="s">
        <v>142</v>
      </c>
      <c r="O42" s="25">
        <f t="shared" si="7"/>
        <v>0.9642337409753039</v>
      </c>
      <c r="P42" s="25">
        <f t="shared" si="8"/>
        <v>0.97369761291142487</v>
      </c>
    </row>
    <row r="43" spans="2:16" x14ac:dyDescent="0.3">
      <c r="C43" s="3"/>
      <c r="J43" s="17"/>
      <c r="N43" t="s">
        <v>143</v>
      </c>
      <c r="O43" s="25">
        <f t="shared" si="7"/>
        <v>0.90138079494240064</v>
      </c>
      <c r="P43" s="25">
        <f t="shared" si="8"/>
        <v>0.87495131018300021</v>
      </c>
    </row>
    <row r="44" spans="2:16" ht="15" thickBot="1" x14ac:dyDescent="0.35">
      <c r="D44" s="26">
        <v>99777115.628999978</v>
      </c>
      <c r="G44" t="s">
        <v>174</v>
      </c>
      <c r="H44" s="24">
        <f>I40</f>
        <v>94175760.194000214</v>
      </c>
      <c r="I44" s="17"/>
      <c r="N44" t="s">
        <v>144</v>
      </c>
      <c r="O44" s="25">
        <f t="shared" si="7"/>
        <v>1.0313536417453386</v>
      </c>
      <c r="P44" s="25">
        <f t="shared" si="8"/>
        <v>1.0261958164284233</v>
      </c>
    </row>
    <row r="45" spans="2:16" ht="15" thickTop="1" x14ac:dyDescent="0.3">
      <c r="I45" s="17"/>
      <c r="J45" s="17"/>
      <c r="N45" t="s">
        <v>145</v>
      </c>
      <c r="O45" s="25">
        <f t="shared" si="7"/>
        <v>0.98884655248525055</v>
      </c>
      <c r="P45" s="25">
        <f t="shared" si="8"/>
        <v>0.8858263175575114</v>
      </c>
    </row>
    <row r="46" spans="2:16" x14ac:dyDescent="0.3">
      <c r="N46" t="s">
        <v>146</v>
      </c>
      <c r="O46" s="25">
        <f t="shared" si="7"/>
        <v>0.91775359281289426</v>
      </c>
      <c r="P46" s="25">
        <f t="shared" si="8"/>
        <v>0.8440288221936022</v>
      </c>
    </row>
    <row r="47" spans="2:16" x14ac:dyDescent="0.3">
      <c r="J47" s="17"/>
      <c r="N47" t="s">
        <v>147</v>
      </c>
      <c r="O47" s="25">
        <f t="shared" si="7"/>
        <v>0.97976704825337535</v>
      </c>
      <c r="P47" s="25">
        <f t="shared" si="8"/>
        <v>0.92225079997802739</v>
      </c>
    </row>
    <row r="48" spans="2:16" x14ac:dyDescent="0.3">
      <c r="N48" t="s">
        <v>148</v>
      </c>
      <c r="O48" s="25">
        <f t="shared" si="7"/>
        <v>0.97319911720266361</v>
      </c>
      <c r="P48" s="25">
        <f t="shared" si="8"/>
        <v>1.0405408751677059</v>
      </c>
    </row>
    <row r="49" spans="10:16" x14ac:dyDescent="0.3">
      <c r="J49" s="17"/>
      <c r="N49" t="s">
        <v>149</v>
      </c>
      <c r="O49" s="25">
        <f t="shared" si="7"/>
        <v>0.91214966319551305</v>
      </c>
      <c r="P49" s="25">
        <f t="shared" si="8"/>
        <v>0.92458063714951522</v>
      </c>
    </row>
    <row r="50" spans="10:16" x14ac:dyDescent="0.3">
      <c r="N50" t="s">
        <v>150</v>
      </c>
      <c r="O50" s="25">
        <f t="shared" si="7"/>
        <v>0.89896955922921051</v>
      </c>
      <c r="P50" s="25">
        <f t="shared" si="8"/>
        <v>0.9600297993320851</v>
      </c>
    </row>
    <row r="51" spans="10:16" x14ac:dyDescent="0.3">
      <c r="J51" s="17"/>
      <c r="N51" t="s">
        <v>151</v>
      </c>
      <c r="O51" s="25">
        <f t="shared" si="7"/>
        <v>0.95093928936756211</v>
      </c>
      <c r="P51" s="25">
        <f t="shared" si="8"/>
        <v>1.0070716572255449</v>
      </c>
    </row>
    <row r="52" spans="10:16" x14ac:dyDescent="0.3">
      <c r="N52" t="s">
        <v>152</v>
      </c>
      <c r="O52" s="25">
        <f t="shared" si="7"/>
        <v>1.0112455802124902</v>
      </c>
      <c r="P52" s="25">
        <f t="shared" si="8"/>
        <v>0.98279356869672296</v>
      </c>
    </row>
    <row r="53" spans="10:16" x14ac:dyDescent="0.3">
      <c r="J53" s="17"/>
      <c r="N53" t="s">
        <v>153</v>
      </c>
      <c r="O53" s="25">
        <f t="shared" si="7"/>
        <v>1.0986908266617161</v>
      </c>
      <c r="P53" s="25">
        <f t="shared" si="8"/>
        <v>1.3841469027064761</v>
      </c>
    </row>
    <row r="54" spans="10:16" x14ac:dyDescent="0.3">
      <c r="N54" t="s">
        <v>154</v>
      </c>
      <c r="O54" s="25">
        <f t="shared" si="7"/>
        <v>0.95704436388816561</v>
      </c>
      <c r="P54" s="25">
        <f t="shared" si="8"/>
        <v>0.89746267563268534</v>
      </c>
    </row>
    <row r="55" spans="10:16" x14ac:dyDescent="0.3">
      <c r="J55" s="17"/>
      <c r="N55" t="s">
        <v>155</v>
      </c>
      <c r="O55" s="25">
        <f t="shared" si="7"/>
        <v>1.1575384321562634</v>
      </c>
      <c r="P55" s="25">
        <f t="shared" si="8"/>
        <v>0.94633672194123264</v>
      </c>
    </row>
    <row r="57" spans="10:16" x14ac:dyDescent="0.3">
      <c r="J57" s="17"/>
    </row>
    <row r="59" spans="10:16" x14ac:dyDescent="0.3">
      <c r="J59" s="17"/>
    </row>
    <row r="61" spans="10:16" x14ac:dyDescent="0.3">
      <c r="J61" s="17"/>
    </row>
    <row r="63" spans="10:16" x14ac:dyDescent="0.3">
      <c r="J63" s="17"/>
    </row>
    <row r="65" spans="10:10" x14ac:dyDescent="0.3">
      <c r="J65" s="17"/>
    </row>
    <row r="67" spans="10:10" x14ac:dyDescent="0.3">
      <c r="J67" s="17"/>
    </row>
    <row r="69" spans="10:10" x14ac:dyDescent="0.3">
      <c r="J69" s="17"/>
    </row>
    <row r="71" spans="10:10" x14ac:dyDescent="0.3">
      <c r="J71" s="17"/>
    </row>
    <row r="73" spans="10:10" x14ac:dyDescent="0.3">
      <c r="J73" s="17"/>
    </row>
    <row r="75" spans="10:10" x14ac:dyDescent="0.3">
      <c r="J75" s="17"/>
    </row>
    <row r="77" spans="10:10" x14ac:dyDescent="0.3">
      <c r="J77" s="17"/>
    </row>
    <row r="79" spans="10:10" x14ac:dyDescent="0.3">
      <c r="J79" s="17"/>
    </row>
    <row r="81" spans="10:10" x14ac:dyDescent="0.3">
      <c r="J81" s="17"/>
    </row>
    <row r="83" spans="10:10" x14ac:dyDescent="0.3">
      <c r="J83" s="17"/>
    </row>
    <row r="85" spans="10:10" x14ac:dyDescent="0.3">
      <c r="J85" s="17"/>
    </row>
    <row r="88" spans="10:10" x14ac:dyDescent="0.3">
      <c r="J88" s="17"/>
    </row>
  </sheetData>
  <phoneticPr fontId="4" type="noConversion"/>
  <pageMargins left="0.7" right="0.7" top="0.75" bottom="0.75" header="0.3" footer="0.3"/>
  <pageSetup orientation="portrait" horizontalDpi="0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04509-DDB4-431A-B78D-3B0AF5EFDEF6}">
  <dimension ref="A6:D15"/>
  <sheetViews>
    <sheetView workbookViewId="0">
      <selection activeCell="E27" sqref="E27"/>
    </sheetView>
  </sheetViews>
  <sheetFormatPr defaultRowHeight="14.4" x14ac:dyDescent="0.3"/>
  <cols>
    <col min="2" max="2" width="23" bestFit="1" customWidth="1"/>
    <col min="3" max="3" width="12.77734375" bestFit="1" customWidth="1"/>
    <col min="4" max="4" width="16.44140625" customWidth="1"/>
    <col min="10" max="10" width="26.88671875" bestFit="1" customWidth="1"/>
  </cols>
  <sheetData>
    <row r="6" spans="1:4" x14ac:dyDescent="0.3">
      <c r="B6" t="s">
        <v>1</v>
      </c>
      <c r="C6" t="s">
        <v>170</v>
      </c>
      <c r="D6" t="s">
        <v>171</v>
      </c>
    </row>
    <row r="7" spans="1:4" x14ac:dyDescent="0.3">
      <c r="A7">
        <v>0</v>
      </c>
      <c r="B7" t="s">
        <v>163</v>
      </c>
      <c r="C7" s="30">
        <v>4810329.8600000003</v>
      </c>
      <c r="D7" s="30">
        <v>15674065.8459999</v>
      </c>
    </row>
    <row r="8" spans="1:4" x14ac:dyDescent="0.3">
      <c r="A8">
        <v>1</v>
      </c>
      <c r="B8" t="s">
        <v>164</v>
      </c>
      <c r="C8" s="30">
        <v>5876705.4160000002</v>
      </c>
      <c r="D8" s="30">
        <v>20505878.394000001</v>
      </c>
    </row>
    <row r="9" spans="1:4" x14ac:dyDescent="0.3">
      <c r="A9">
        <v>4</v>
      </c>
      <c r="B9" t="s">
        <v>165</v>
      </c>
      <c r="C9" s="30">
        <v>5881217.1399999997</v>
      </c>
      <c r="D9" s="30">
        <v>16978483.537</v>
      </c>
    </row>
    <row r="10" spans="1:4" x14ac:dyDescent="0.3">
      <c r="A10">
        <v>5</v>
      </c>
      <c r="B10" t="s">
        <v>166</v>
      </c>
      <c r="C10" s="30">
        <v>4777557.91</v>
      </c>
      <c r="D10" s="30">
        <v>14794153.557</v>
      </c>
    </row>
    <row r="11" spans="1:4" x14ac:dyDescent="0.3">
      <c r="A11">
        <v>6</v>
      </c>
      <c r="B11" t="s">
        <v>167</v>
      </c>
      <c r="C11" s="30">
        <v>4777318.8370000003</v>
      </c>
      <c r="D11" s="30">
        <v>15240646.930999899</v>
      </c>
    </row>
    <row r="12" spans="1:4" x14ac:dyDescent="0.3">
      <c r="A12">
        <v>7</v>
      </c>
      <c r="B12" t="s">
        <v>168</v>
      </c>
      <c r="C12" s="30">
        <v>3745786.0019999999</v>
      </c>
      <c r="D12" s="30">
        <v>12363510.973999901</v>
      </c>
    </row>
    <row r="13" spans="1:4" x14ac:dyDescent="0.3">
      <c r="A13">
        <v>8</v>
      </c>
      <c r="B13" t="s">
        <v>169</v>
      </c>
      <c r="C13" s="30">
        <v>5152799.9149999898</v>
      </c>
      <c r="D13" s="30">
        <v>13341156.2629999</v>
      </c>
    </row>
    <row r="14" spans="1:4" ht="15" thickBot="1" x14ac:dyDescent="0.35">
      <c r="C14" s="26">
        <f>SUM(C7:C13)</f>
        <v>35021715.079999991</v>
      </c>
    </row>
    <row r="15" spans="1:4" ht="15" thickTop="1" x14ac:dyDescent="0.3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649A1-5D51-4025-BB03-B72DD1E67EE5}">
  <dimension ref="A1:Q32"/>
  <sheetViews>
    <sheetView workbookViewId="0">
      <selection activeCell="Q11" sqref="Q11"/>
    </sheetView>
  </sheetViews>
  <sheetFormatPr defaultRowHeight="14.4" x14ac:dyDescent="0.3"/>
  <sheetData>
    <row r="1" spans="1:17" x14ac:dyDescent="0.3">
      <c r="B1">
        <v>0</v>
      </c>
    </row>
    <row r="2" spans="1:17" x14ac:dyDescent="0.3">
      <c r="A2">
        <v>0</v>
      </c>
      <c r="B2" t="s">
        <v>85</v>
      </c>
    </row>
    <row r="3" spans="1:17" x14ac:dyDescent="0.3">
      <c r="A3">
        <v>1</v>
      </c>
      <c r="B3" s="11" t="s">
        <v>96</v>
      </c>
      <c r="Q3">
        <v>0</v>
      </c>
    </row>
    <row r="4" spans="1:17" x14ac:dyDescent="0.3">
      <c r="A4">
        <v>2</v>
      </c>
      <c r="B4" t="s">
        <v>86</v>
      </c>
      <c r="P4">
        <v>0</v>
      </c>
      <c r="Q4" t="s">
        <v>85</v>
      </c>
    </row>
    <row r="5" spans="1:17" x14ac:dyDescent="0.3">
      <c r="A5">
        <v>3</v>
      </c>
      <c r="B5" s="12" t="s">
        <v>96</v>
      </c>
      <c r="P5">
        <v>1</v>
      </c>
      <c r="Q5" s="11" t="s">
        <v>96</v>
      </c>
    </row>
    <row r="6" spans="1:17" x14ac:dyDescent="0.3">
      <c r="A6">
        <v>4</v>
      </c>
      <c r="B6" s="1" t="s">
        <v>87</v>
      </c>
      <c r="P6">
        <v>2</v>
      </c>
      <c r="Q6" t="s">
        <v>86</v>
      </c>
    </row>
    <row r="7" spans="1:17" x14ac:dyDescent="0.3">
      <c r="A7">
        <v>5</v>
      </c>
      <c r="B7" s="13" t="s">
        <v>96</v>
      </c>
      <c r="P7">
        <v>3</v>
      </c>
      <c r="Q7" s="11" t="s">
        <v>96</v>
      </c>
    </row>
    <row r="8" spans="1:17" x14ac:dyDescent="0.3">
      <c r="A8">
        <v>6</v>
      </c>
      <c r="B8" s="14" t="s">
        <v>88</v>
      </c>
      <c r="P8">
        <v>4</v>
      </c>
      <c r="Q8" t="s">
        <v>87</v>
      </c>
    </row>
    <row r="9" spans="1:17" x14ac:dyDescent="0.3">
      <c r="A9">
        <v>7</v>
      </c>
      <c r="B9" s="15" t="s">
        <v>96</v>
      </c>
      <c r="P9">
        <v>5</v>
      </c>
      <c r="Q9" s="11" t="s">
        <v>96</v>
      </c>
    </row>
    <row r="10" spans="1:17" x14ac:dyDescent="0.3">
      <c r="A10">
        <v>8</v>
      </c>
      <c r="B10" s="16" t="s">
        <v>89</v>
      </c>
      <c r="P10">
        <v>6</v>
      </c>
      <c r="Q10" t="s">
        <v>88</v>
      </c>
    </row>
    <row r="11" spans="1:17" x14ac:dyDescent="0.3">
      <c r="A11">
        <v>9</v>
      </c>
      <c r="B11" s="11" t="s">
        <v>97</v>
      </c>
      <c r="P11">
        <v>7</v>
      </c>
      <c r="Q11" s="11" t="s">
        <v>96</v>
      </c>
    </row>
    <row r="12" spans="1:17" x14ac:dyDescent="0.3">
      <c r="A12">
        <v>10</v>
      </c>
      <c r="B12">
        <v>0</v>
      </c>
      <c r="P12">
        <v>8</v>
      </c>
      <c r="Q12" t="s">
        <v>89</v>
      </c>
    </row>
    <row r="13" spans="1:17" x14ac:dyDescent="0.3">
      <c r="A13">
        <v>11</v>
      </c>
      <c r="B13" s="11" t="s">
        <v>97</v>
      </c>
      <c r="P13">
        <v>9</v>
      </c>
      <c r="Q13" s="11" t="s">
        <v>97</v>
      </c>
    </row>
    <row r="14" spans="1:17" x14ac:dyDescent="0.3">
      <c r="A14">
        <v>12</v>
      </c>
      <c r="B14" s="1" t="s">
        <v>90</v>
      </c>
      <c r="P14">
        <v>10</v>
      </c>
      <c r="Q14">
        <v>0</v>
      </c>
    </row>
    <row r="15" spans="1:17" x14ac:dyDescent="0.3">
      <c r="A15">
        <v>13</v>
      </c>
      <c r="B15" s="11" t="s">
        <v>97</v>
      </c>
      <c r="P15">
        <v>11</v>
      </c>
      <c r="Q15" s="11" t="s">
        <v>97</v>
      </c>
    </row>
    <row r="16" spans="1:17" x14ac:dyDescent="0.3">
      <c r="A16">
        <v>14</v>
      </c>
      <c r="B16" s="13" t="s">
        <v>91</v>
      </c>
      <c r="P16">
        <v>12</v>
      </c>
      <c r="Q16" t="s">
        <v>90</v>
      </c>
    </row>
    <row r="17" spans="1:17" x14ac:dyDescent="0.3">
      <c r="A17">
        <v>15</v>
      </c>
      <c r="B17" s="11" t="s">
        <v>97</v>
      </c>
      <c r="P17">
        <v>13</v>
      </c>
      <c r="Q17" s="11" t="s">
        <v>97</v>
      </c>
    </row>
    <row r="18" spans="1:17" x14ac:dyDescent="0.3">
      <c r="A18">
        <v>16</v>
      </c>
      <c r="B18" s="16" t="s">
        <v>92</v>
      </c>
      <c r="P18">
        <v>14</v>
      </c>
      <c r="Q18" t="s">
        <v>91</v>
      </c>
    </row>
    <row r="19" spans="1:17" x14ac:dyDescent="0.3">
      <c r="A19">
        <v>17</v>
      </c>
      <c r="B19" s="1" t="s">
        <v>93</v>
      </c>
      <c r="G19" s="1" t="s">
        <v>95</v>
      </c>
      <c r="P19">
        <v>15</v>
      </c>
      <c r="Q19" s="11" t="s">
        <v>97</v>
      </c>
    </row>
    <row r="20" spans="1:17" x14ac:dyDescent="0.3">
      <c r="A20">
        <v>18</v>
      </c>
      <c r="B20" s="1" t="s">
        <v>100</v>
      </c>
      <c r="G20" s="1" t="s">
        <v>100</v>
      </c>
      <c r="P20">
        <v>16</v>
      </c>
      <c r="Q20" t="s">
        <v>92</v>
      </c>
    </row>
    <row r="21" spans="1:17" x14ac:dyDescent="0.3">
      <c r="A21">
        <v>19</v>
      </c>
      <c r="B21" s="1" t="s">
        <v>93</v>
      </c>
      <c r="G21" s="1" t="s">
        <v>95</v>
      </c>
      <c r="P21">
        <v>17</v>
      </c>
      <c r="Q21" t="s">
        <v>95</v>
      </c>
    </row>
    <row r="22" spans="1:17" x14ac:dyDescent="0.3">
      <c r="A22">
        <v>20</v>
      </c>
      <c r="B22" s="1" t="s">
        <v>101</v>
      </c>
      <c r="G22" s="1" t="s">
        <v>101</v>
      </c>
      <c r="P22">
        <v>18</v>
      </c>
      <c r="Q22" t="s">
        <v>100</v>
      </c>
    </row>
    <row r="23" spans="1:17" x14ac:dyDescent="0.3">
      <c r="A23">
        <v>21</v>
      </c>
      <c r="B23" s="13" t="s">
        <v>94</v>
      </c>
      <c r="G23" s="14" t="s">
        <v>99</v>
      </c>
      <c r="P23">
        <v>19</v>
      </c>
      <c r="Q23" t="s">
        <v>95</v>
      </c>
    </row>
    <row r="24" spans="1:17" x14ac:dyDescent="0.3">
      <c r="A24">
        <v>22</v>
      </c>
      <c r="B24" s="13" t="s">
        <v>102</v>
      </c>
      <c r="G24" s="13" t="s">
        <v>102</v>
      </c>
      <c r="P24">
        <v>20</v>
      </c>
      <c r="Q24" t="s">
        <v>101</v>
      </c>
    </row>
    <row r="25" spans="1:17" x14ac:dyDescent="0.3">
      <c r="A25">
        <v>23</v>
      </c>
      <c r="B25" s="13" t="s">
        <v>94</v>
      </c>
      <c r="G25" s="14" t="s">
        <v>99</v>
      </c>
      <c r="P25">
        <v>21</v>
      </c>
      <c r="Q25" t="s">
        <v>99</v>
      </c>
    </row>
    <row r="26" spans="1:17" x14ac:dyDescent="0.3">
      <c r="A26">
        <v>24</v>
      </c>
      <c r="B26" s="13" t="s">
        <v>103</v>
      </c>
      <c r="G26" s="13" t="s">
        <v>103</v>
      </c>
      <c r="P26">
        <v>22</v>
      </c>
      <c r="Q26" t="s">
        <v>102</v>
      </c>
    </row>
    <row r="27" spans="1:17" x14ac:dyDescent="0.3">
      <c r="A27">
        <v>25</v>
      </c>
      <c r="B27" s="16" t="s">
        <v>95</v>
      </c>
      <c r="G27" s="15" t="s">
        <v>98</v>
      </c>
      <c r="P27">
        <v>23</v>
      </c>
      <c r="Q27" t="s">
        <v>99</v>
      </c>
    </row>
    <row r="28" spans="1:17" x14ac:dyDescent="0.3">
      <c r="A28">
        <v>26</v>
      </c>
      <c r="B28" s="16" t="s">
        <v>102</v>
      </c>
      <c r="G28" s="16" t="s">
        <v>102</v>
      </c>
      <c r="P28">
        <v>24</v>
      </c>
      <c r="Q28" t="s">
        <v>103</v>
      </c>
    </row>
    <row r="29" spans="1:17" x14ac:dyDescent="0.3">
      <c r="A29">
        <v>27</v>
      </c>
      <c r="B29" s="16" t="s">
        <v>95</v>
      </c>
      <c r="G29" s="15" t="s">
        <v>98</v>
      </c>
      <c r="P29">
        <v>25</v>
      </c>
      <c r="Q29" t="s">
        <v>98</v>
      </c>
    </row>
    <row r="30" spans="1:17" x14ac:dyDescent="0.3">
      <c r="A30">
        <v>28</v>
      </c>
      <c r="B30" s="16" t="s">
        <v>104</v>
      </c>
      <c r="G30" s="16" t="s">
        <v>104</v>
      </c>
      <c r="P30">
        <v>26</v>
      </c>
      <c r="Q30" t="s">
        <v>102</v>
      </c>
    </row>
    <row r="31" spans="1:17" x14ac:dyDescent="0.3">
      <c r="P31">
        <v>27</v>
      </c>
      <c r="Q31" t="s">
        <v>98</v>
      </c>
    </row>
    <row r="32" spans="1:17" x14ac:dyDescent="0.3">
      <c r="P32">
        <v>28</v>
      </c>
      <c r="Q32" t="s">
        <v>104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0490B-8276-40EC-9C5F-1D4E60EA2324}">
  <dimension ref="A7:C21"/>
  <sheetViews>
    <sheetView workbookViewId="0">
      <selection activeCell="F11" sqref="F11"/>
    </sheetView>
  </sheetViews>
  <sheetFormatPr defaultRowHeight="14.4" x14ac:dyDescent="0.3"/>
  <cols>
    <col min="2" max="2" width="45.33203125" customWidth="1"/>
    <col min="3" max="3" width="13.88671875" customWidth="1"/>
  </cols>
  <sheetData>
    <row r="7" spans="1:3" x14ac:dyDescent="0.3">
      <c r="B7" t="s">
        <v>1</v>
      </c>
      <c r="C7" t="s">
        <v>175</v>
      </c>
    </row>
    <row r="8" spans="1:3" x14ac:dyDescent="0.3">
      <c r="A8">
        <v>0</v>
      </c>
      <c r="B8" t="s">
        <v>176</v>
      </c>
      <c r="C8" s="30">
        <v>3020879.798</v>
      </c>
    </row>
    <row r="9" spans="1:3" x14ac:dyDescent="0.3">
      <c r="A9">
        <v>1</v>
      </c>
      <c r="B9" t="s">
        <v>177</v>
      </c>
      <c r="C9" s="30">
        <v>2527684.281</v>
      </c>
    </row>
    <row r="10" spans="1:3" x14ac:dyDescent="0.3">
      <c r="A10">
        <v>2</v>
      </c>
      <c r="B10" t="s">
        <v>178</v>
      </c>
      <c r="C10" s="30">
        <v>2729817.6150000002</v>
      </c>
    </row>
    <row r="11" spans="1:3" x14ac:dyDescent="0.3">
      <c r="A11">
        <v>3</v>
      </c>
      <c r="B11" t="s">
        <v>179</v>
      </c>
      <c r="C11" s="30">
        <v>2642455.0589999999</v>
      </c>
    </row>
    <row r="12" spans="1:3" x14ac:dyDescent="0.3">
      <c r="A12">
        <v>4</v>
      </c>
      <c r="B12" t="s">
        <v>180</v>
      </c>
      <c r="C12" s="30">
        <v>2432552.2110000001</v>
      </c>
    </row>
    <row r="13" spans="1:3" x14ac:dyDescent="0.3">
      <c r="A13">
        <v>5</v>
      </c>
      <c r="B13" t="s">
        <v>181</v>
      </c>
      <c r="C13" s="30">
        <v>2208992.0019999999</v>
      </c>
    </row>
    <row r="14" spans="1:3" x14ac:dyDescent="0.3">
      <c r="A14">
        <v>6</v>
      </c>
      <c r="B14" t="s">
        <v>182</v>
      </c>
      <c r="C14" s="30">
        <v>2456603.213</v>
      </c>
    </row>
    <row r="15" spans="1:3" x14ac:dyDescent="0.3">
      <c r="A15">
        <v>7</v>
      </c>
      <c r="B15" t="s">
        <v>183</v>
      </c>
      <c r="C15" s="30">
        <v>3148823.2519999999</v>
      </c>
    </row>
    <row r="16" spans="1:3" ht="15" thickBot="1" x14ac:dyDescent="0.35">
      <c r="C16" s="26">
        <f>SUM(C8:C15)</f>
        <v>21167807.431000002</v>
      </c>
    </row>
    <row r="17" spans="2:2" ht="15" thickTop="1" x14ac:dyDescent="0.3"/>
    <row r="21" spans="2:2" x14ac:dyDescent="0.3">
      <c r="B21" t="s">
        <v>207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5B019-AF94-4F00-8F9E-6DC924C4B46B}">
  <sheetPr codeName="Sheet5"/>
  <dimension ref="A2:A19"/>
  <sheetViews>
    <sheetView workbookViewId="0">
      <selection activeCell="D3" sqref="D3"/>
    </sheetView>
  </sheetViews>
  <sheetFormatPr defaultRowHeight="14.4" x14ac:dyDescent="0.3"/>
  <cols>
    <col min="1" max="1" width="16.6640625" customWidth="1"/>
  </cols>
  <sheetData>
    <row r="2" spans="1:1" x14ac:dyDescent="0.3">
      <c r="A2" s="1" t="s">
        <v>0</v>
      </c>
    </row>
    <row r="3" spans="1:1" x14ac:dyDescent="0.3">
      <c r="A3" s="2" t="str" cm="1">
        <f t="array" ref="A3:A7">Ws_WSListName()</f>
        <v>Sheet1</v>
      </c>
    </row>
    <row r="4" spans="1:1" x14ac:dyDescent="0.3">
      <c r="A4" s="2" t="str">
        <v>Sheet2</v>
      </c>
    </row>
    <row r="5" spans="1:1" x14ac:dyDescent="0.3">
      <c r="A5" s="2" t="str">
        <v>BigBang</v>
      </c>
    </row>
    <row r="6" spans="1:1" x14ac:dyDescent="0.3">
      <c r="A6" s="2" t="str">
        <v>Sheet3</v>
      </c>
    </row>
    <row r="7" spans="1:1" x14ac:dyDescent="0.3">
      <c r="A7" s="2" t="str">
        <v>Button</v>
      </c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</sheetData>
  <hyperlinks>
    <hyperlink ref="A3" location="Func!A1" display="Func!A1" xr:uid="{73CB93E5-A87C-4E65-91ED-054E97DD3EE1}"/>
    <hyperlink ref="A4" location="Link!A1" display="Link!A1" xr:uid="{69AF7197-9961-4C1C-A58B-FE58372D924C}"/>
    <hyperlink ref="A5" location="Next!A1" display="Next!A1" xr:uid="{0D818C97-1AED-49B4-80A2-4CAAA40901CD}"/>
    <hyperlink ref="A6" location="Version!A1" display="Version!A1" xr:uid="{F00C3983-BF60-42FF-9557-A5E414119424}"/>
    <hyperlink ref="A7" location="Vocab1!A1" display="Vocab1!A1" xr:uid="{44674C76-FDCA-423F-B020-2093FA91D332}"/>
    <hyperlink ref="A8" location="Button!A1" display="Button!A1" xr:uid="{CF518A47-8AEC-4E81-8209-807FBCF7BBC3}"/>
    <hyperlink ref="A9" location="Range!A1" display="Range!A1" xr:uid="{52ECD43B-BF12-4215-B49A-BEF032878F76}"/>
    <hyperlink ref="A10" location="sheet1!A1" display="sheet1!A1" xr:uid="{3248FBF3-CEB9-40B6-9DA7-ED866E1361E7}"/>
    <hyperlink ref="A11" location="Info!A1" display="Info!A1" xr:uid="{DDA80220-E74D-4F9F-BA62-AB936441460D}"/>
    <hyperlink ref="A12" location="gde_ods_vw!A1" display="gde_ods_vw!A1" xr:uid="{53CF6E0B-31B3-4C4A-9C2D-404F60A46EB9}"/>
    <hyperlink ref="A13" location="Test1!A1" display="Test1!A1" xr:uid="{CD519C2E-BB30-4DD1-AF76-376902A771EE}"/>
    <hyperlink ref="A14" location="'Sub1'!A1" display="'Sub1'!A1" xr:uid="{3DC11B48-1561-458D-9EF0-AB9F7322E3E7}"/>
    <hyperlink ref="A15" location="Test1!A1" display="Test1!A1" xr:uid="{C566A683-6B1B-4F1C-9269-96B6CCF8AD28}"/>
    <hyperlink ref="A16" location="DataOri!A1" display="DataOri!A1" xr:uid="{8454741D-0B51-4A26-BC12-412950978E73}"/>
    <hyperlink ref="A17" location="Data1!A1" display="Data1!A1" xr:uid="{6D3E8232-E280-4E68-B033-243F6BCA1D28}"/>
    <hyperlink ref="A18" location="Data2!A1" display="Data2!A1" xr:uid="{46D33359-CD86-4906-87DE-9CEF8FB54524}"/>
    <hyperlink ref="A19" location="Sheet2!A1" display="Sheet2!A1" xr:uid="{8D2D28CA-E689-4CE6-9057-716B9C28AC1A}"/>
  </hyperlink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WABfAFgAbABvAG8AawB1AHAASAAxACAAPQBMAEEATQBCAEQAQQAoAGwAbwBvAGsAdQBwAF8AdgBhAGwAdQBlACwAIABsAG8AbwBrAHUAcABfAGEAcgByAGEAeQAsACAAcgBlAHQAdQByAG4AXwBhAHIAcgBhAHkALABcAG4AIAAgACAAIABGAEkATABUAEUAUgAoAFwAbgAgACAAIAAgACAAIAAgACAAcgBlAHQAdQByAG4AXwBhAHIAcgBhAHkALABcAG4AIAAgACAAIAAgACAAIAAgAGwAbwBvAGsAdQBwAF8AYQByAHIAYQB5ACAAPQAgAGwAbwBvAGsAdQBwAF8AdgBhAGwAdQBlAFwAbgAgACAAIAAgACkAXABuACkAOwBcAG4AXABuAFwAbgBYAF8AWABsAG8AbwBrAHUAcAAgAD0AIABMAEEATQBCAEQAQQAoAGwAbwBvAGsAdQBwAF8AdgBhAGwAdQBlACwAIABsAG8AbwBrAHUAcABfAGEAcgByAGEAeQAsACAAcgBlAHQAdQByAG4AXwBhAHIAcgBhAHkALABcAG4AIAAgACAAIABJAEYARQBSAFIATwBSACgAXABuACAAIAAgACAAIAAgACAAIABYAF8AWABsAG8AbwBrAHUAcABIADEAKABcAG4AIAAgACAAIAAgACAAIAAgACAAIAAgACAAbABvAG8AawB1AHAAXwB2AGEAbAB1AGUALABcAG4AIAAgACAAIAAgACAAIAAgACAAIAAgACAAbABvAG8AawB1AHAAXwBhAHIAcgBhAHkALABcAG4AIAAgACAAIAAgACAAIAAgACAAIAAgACAAcgBlAHQAdQByAG4AXwBhAHIAcgBhAHkAXABuACAAIAAgACAAIAAgACAAIAApACwAXABuACAAIAAgACAAIAAgACAAIABJAEYARQBSAFIATwBSACgAXABuACAAIAAgACAAIAAgACAAIAAgACAAIAAgAFgAXwBYAGwAbwBvAGsAdQBwAEgAMQAoAFwAbgAgACAAIAAgACAAIAAgACAAIAAgACAAIAAgACAAIAAgAFQARQBYAFQAKABsAG8AbwBrAHUAcABfAHYAYQBsAHUAZQAsACAAXAAiADAAXAAiACkALABcAG4AIAAgACAAIAAgACAAIAAgACAAIAAgACAAIAAgACAAIABsAG8AbwBrAHUAcABfAGEAcgByAGEAeQAsAFwAbgAgACAAIAAgACAAIAAgACAAIAAgACAAIAAgACAAIAAgAHIAZQB0AHUAcgBuAF8AYQByAHIAYQB5AFwAbgAgACAAIAAgACAAIAAgACAAIAAgACAAIAApACwAXABuACAAIAAgACAAIAAgACAAIAAgACAAIAAgAFgAXwBYAGwAbwBvAGsAdQBwAEgAMQAoAFwAbgAgACAAIAAgACAAIAAgACAAIAAgACAAIAAgACAAIAAgAFYAQQBMAFUARQAoAGwAbwBvAGsAdQBwAF8AdgBhAGwAdQBlACkALABcAG4AIAAgACAAIAAgACAAIAAgACAAIAAgACAAIAAgACAAIABsAG8AbwBrAHUAcABfAGEAcgByAGEAeQAsAFwAbgAgACAAIAAgACAAIAAgACAAIAAgACAAIAAgACAAIAAgAHIAZQB0AHUAcgBuAF8AYQByAHIAYQB5AFwAbgAgACAAIAAgACAAIAAgACAAIAAgACAAIAApAFwAbgAgACAAIAAgACAAIAAgACAAKQBcAG4AIAAgACAAIAApAFwAbgApADsAIgB9AF0ALAAiAHAAcgBvAGoAZQBjAHQATgBhAG0AZQBzACIAOgBbACIAWABfAFgAbABvAG8AawB1AHAASAAxACIALAAiAFgAXwBYAGwAbwBvAGsAdQBwACIAXQAsACIAbABvAGMAYQBsAGUAIgA6AHsAIgBsAGkAcwB0AFMAZQBwAGEAcgBhAHQAbwByACIAOgAiACwAIgAsACIAcgBvAHcAUwBlAHAAYQByAGEAdABvAHIAIgA6ACIAOwAiACwAIgBjAG8AbAB1AG0AbgBTAGUAcABhAHIAYQB0AG8AcgAiADoAIgAsACIALAAiAHQAaABvAHUAcwBhAG4AZABzAFMAZQBwAGEAcgBhAHQAbwByACIAOgAiACwAIgAsACIAdABoAG8AdQBzAGEAbgBkAHMAUABvAHMAaQB0AGkAbwBuAHMAIgA6AFsAMwBdACwAIgBkAGUAYwBpAG0AYQBsAFMAZQBwAGEAcgBhAHQAbwByACIAOgAiAC4AIgAsACIAZABhAHQAZQBPAHIAZABlAHIAIgA6ACIATQBEAFkAIgAsACIAYwB1AHIAcgBlAG4AYwB5AFMAeQBtAGIAbwBsACIAOgAiACQAIgAsACIAaQBzAEMAdQByAHIAZQBuAGMAeQBTAHkAbQBiAG8AbABMAGUAYQBkACIAOgB0AHIAdQBlACwAIgBpAHMAQwB1AHIAcgBlAG4AYwB5AFMAZQBwAEIAeQBTAHAAYQBjAGUAIgA6AGYAYQBsAHMAZQAsACIAcgBvAHcATABlAHQAdABlAHIAIgA6ACIAUgAiACwAIgBjAG8AbAB1AG0AbgBMAGUAdAB0AGUAcgAiADoAIgBDACIALAAiAHIAYwBMAGUAZgB0AEIAcgBhAGMAawBlAHQAIgA6ACIAWwAiACwAIgByAGMAUgBpAGcAaAB0AEIAcgBhAGMAawBlAHQAIgA6ACIAXQAiACwAIgBzAHQAYQB0AGUAbQBlAG4AdABTAGUAcABhAHIAYQB0AG8AcgAiADoAIgA7ACIALAAiAGwAbwBjAGEAbABlAE4AYQBtAGUAIgA6ACIAZQBuAC0AdQBzACIAfQB9AA==</AFEJSONBlob>
</file>

<file path=customXml/itemProps1.xml><?xml version="1.0" encoding="utf-8"?>
<ds:datastoreItem xmlns:ds="http://schemas.openxmlformats.org/officeDocument/2006/customXml" ds:itemID="{6FDDCF23-DC28-468C-8A07-B6665A1275D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9AF9386-BEC9-4C74-A628-B2A97F12363B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2025_07_20</vt:lpstr>
      <vt:lpstr>2025_08_11</vt:lpstr>
      <vt:lpstr>2025_08_31</vt:lpstr>
      <vt:lpstr>Sheet2</vt:lpstr>
      <vt:lpstr>BigBang</vt:lpstr>
      <vt:lpstr>The 100</vt:lpstr>
      <vt:lpstr>Sheet3</vt:lpstr>
      <vt:lpstr>Analysis</vt:lpstr>
      <vt:lpstr>Button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Heng2020</dc:creator>
  <cp:keywords/>
  <dc:description/>
  <cp:lastModifiedBy>Dear Norathee</cp:lastModifiedBy>
  <cp:revision/>
  <dcterms:created xsi:type="dcterms:W3CDTF">2015-06-05T18:17:20Z</dcterms:created>
  <dcterms:modified xsi:type="dcterms:W3CDTF">2025-08-31T11:06:09Z</dcterms:modified>
  <cp:category/>
  <cp:contentStatus/>
</cp:coreProperties>
</file>